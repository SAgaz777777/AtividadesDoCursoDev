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xr:revisionPtr revIDLastSave="0" documentId="13_ncr:1_{4B18E1F5-CE02-4DEC-BD92-691664B27B8D}" xr6:coauthVersionLast="47" xr6:coauthVersionMax="47" xr10:uidLastSave="{00000000-0000-0000-0000-000000000000}"/>
  <bookViews>
    <workbookView xWindow="-108" yWindow="-108" windowWidth="23256" windowHeight="12456" xr2:uid="{00000000-000D-0000-FFFF-FFFF00000000}"/>
  </bookViews>
  <sheets>
    <sheet name="CronogramaDeProjeto" sheetId="11" r:id="rId1"/>
    <sheet name="Sobre" sheetId="12" r:id="rId2"/>
  </sheets>
  <definedNames>
    <definedName name="Hoje" localSheetId="0">TODAY()</definedName>
    <definedName name="Início_da_tarefa" localSheetId="0">CronogramaDeProjeto!$E1</definedName>
    <definedName name="Início_do_projeto">CronogramaDeProjeto!$E$3</definedName>
    <definedName name="Progresso_da_tarefa" localSheetId="0">CronogramaDeProjeto!$D1</definedName>
    <definedName name="Semana_de_exibição">CronogramaDeProjeto!$E$4</definedName>
    <definedName name="Término_da_tarefa" localSheetId="0">CronogramaDeProjeto!$F1</definedName>
    <definedName name="_xlnm.Print_Titles" localSheetId="0">CronogramaDeProjeto!$4:$6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4" i="11" l="1"/>
  <c r="E16" i="11"/>
  <c r="E15" i="11"/>
  <c r="E12" i="11"/>
  <c r="E11" i="11"/>
  <c r="E10" i="11"/>
  <c r="H7" i="11"/>
  <c r="H22" i="11" l="1"/>
  <c r="I5" i="11"/>
  <c r="H32" i="11"/>
  <c r="H31" i="11"/>
  <c r="H30" i="11"/>
  <c r="H29" i="11"/>
  <c r="H28" i="11"/>
  <c r="H26" i="11"/>
  <c r="H21" i="11"/>
  <c r="H20" i="11"/>
  <c r="H8" i="11"/>
  <c r="H9" i="11" l="1"/>
  <c r="F10" i="11"/>
  <c r="I6" i="11"/>
  <c r="H27" i="11" l="1"/>
  <c r="H25" i="11"/>
  <c r="H10" i="11"/>
  <c r="H23" i="11"/>
  <c r="F15" i="11"/>
  <c r="H14" i="11"/>
  <c r="F11" i="11"/>
  <c r="J5" i="11"/>
  <c r="K5" i="11" s="1"/>
  <c r="L5" i="11" s="1"/>
  <c r="M5" i="11" s="1"/>
  <c r="N5" i="11" s="1"/>
  <c r="O5" i="11" s="1"/>
  <c r="P5" i="11" s="1"/>
  <c r="I4" i="11"/>
  <c r="H15" i="11" l="1"/>
  <c r="H24" i="11"/>
  <c r="H11" i="11"/>
  <c r="F12" i="11"/>
  <c r="H12" i="11" s="1"/>
  <c r="P4" i="11"/>
  <c r="Q5" i="11"/>
  <c r="R5" i="11" s="1"/>
  <c r="S5" i="11" s="1"/>
  <c r="T5" i="11" s="1"/>
  <c r="U5" i="11" s="1"/>
  <c r="V5" i="11" s="1"/>
  <c r="W5" i="11" s="1"/>
  <c r="J6" i="11"/>
  <c r="H19" i="11" l="1"/>
  <c r="H18" i="11"/>
  <c r="F16" i="11"/>
  <c r="H17" i="11" s="1"/>
  <c r="W4" i="11"/>
  <c r="X5" i="11"/>
  <c r="Y5" i="11" s="1"/>
  <c r="Z5" i="11" s="1"/>
  <c r="AA5" i="11" s="1"/>
  <c r="AB5" i="11" s="1"/>
  <c r="AC5" i="11" s="1"/>
  <c r="AD5" i="11" s="1"/>
  <c r="K6" i="11"/>
  <c r="H16" i="11" l="1"/>
  <c r="AE5" i="1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<sst xmlns="http://schemas.openxmlformats.org/spreadsheetml/2006/main" count="55" uniqueCount="51">
  <si>
    <t>Crie um cronograma de projeto nesta planilha.
Digite o título desse projeto na célula B1. 
As informações sobre como usar esta planilha, incluindo instruções para leitores de tela e o autor desta pasta de trabalho, estão na planilha Sobre.
Continue navegando pela coluna A para saber mais.</t>
  </si>
  <si>
    <t>Insira o Nome da empresa na célula B2.</t>
  </si>
  <si>
    <t>Insira o nome do Líder do projeto na célula B3. Insira a data de Início do projeto na célula E3. Início do projeto: o rótulo está na célula C3.</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</si>
  <si>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</si>
  <si>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</si>
  <si>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</si>
  <si>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</si>
  <si>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</si>
  <si>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</si>
  <si>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</si>
  <si>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</si>
  <si>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Esta é uma linha vazia</t>
  </si>
  <si>
    <t>Esta linha marca o final do Cronograma do projeto. NÃO insira nada nessa linha. 
Insira novas linhas ACIMA desta linha para continuar a construção do cronograma de projeto.</t>
  </si>
  <si>
    <t>TAREFA</t>
  </si>
  <si>
    <t>Início do projeto:</t>
  </si>
  <si>
    <t>Semana de exibição:</t>
  </si>
  <si>
    <t>ATRIBUÍDO
PARA</t>
  </si>
  <si>
    <t>PROGRESSO</t>
  </si>
  <si>
    <t>INÍCIO</t>
  </si>
  <si>
    <t>TÉRMINO</t>
  </si>
  <si>
    <t>DIAS</t>
  </si>
  <si>
    <t>GRÁFICO DE GANTT SIMPLES por Vertex42.com</t>
  </si>
  <si>
    <t>https://www.vertex42.com/ExcelTemplates/simple-gantt-chart.html</t>
  </si>
  <si>
    <t>Sobre este modelo</t>
  </si>
  <si>
    <t>Este modelo proporciona uma maneira simples de criar um gráfico de Gantt para ajudar a visualizar e controlar seu projeto. Basta inserir suas tarefas e as datas de início e término, as fórmulas não são necessárias. As barras no gráfico de Gantt representam a duração da tarefa e são exibidas usando a formatação condicional. Para adicionar novas tarefas, insira novas linhas.</t>
  </si>
  <si>
    <t>Guia para leitores de tela</t>
  </si>
  <si>
    <t>Há duas planilhas nesta pasta de trabalho. 
FolhaDePonto
Sobre
As instruções para cada planilha estão na coluna A, começando na célula A1 de cada planilha. Elas foram escritas com texto oculto. Cada etapa orienta você pelas informações nessa linha. Cada etapa subsequente continua na célula A2, A3 e assim por diante, caso isso não seja orientado explicitamente. Por exemplo, o texto da instrução pode mostrar "continua na célula A6" para a próxima etapa. 
Esse texto oculto não será impresso.
Para remover essas instruções da planilha, basta excluir a coluna A.</t>
  </si>
  <si>
    <t>Ajuda adicional</t>
  </si>
  <si>
    <t>Clique no link abaixo para acessar o site vertex42.com e saiba mais sobre como usar esse modelo, como calcular os dias normais e dias úteis, criar as dependências entre tarefas, alterar as cores das barras, adicionar uma barra de rolagem para facilitar a alteração da semana de exibição, ampliar o intervalo de data exibido no gráfico, etc.</t>
  </si>
  <si>
    <t>Como usar um gráfico de Gantt simples</t>
  </si>
  <si>
    <t>Mais modelos de gerenciamento de projetos</t>
  </si>
  <si>
    <t>Acesse Vertex42.com para baixar outros modelos de gerenciamento de projetos, incluindo os diferentes tipos de cronogramas de projetos, gráficos de Gantt, listas de tarefas, etc.</t>
  </si>
  <si>
    <t>Modelos de gerenciamento de projetos</t>
  </si>
  <si>
    <t>Sobre o Vertex42</t>
  </si>
  <si>
    <t>O Vertex42.com oferece mais de 300 modelos profissionais de planilha para uso corporativo, doméstico e educacional, a maioria deles com download gratuito. O conjunto de modelos inclui vários calendários, planejadores e agendas, bem como planilhas de finanças pessoais para orçamento, redução de débito e amortização de empréstimo.</t>
  </si>
  <si>
    <t>As empresas encontrarão faturas, folhas de ponto, controladores de estoque, demonstrativos financeiros e modelos de planejamento de projetos. Professores e alunos encontrarão recursos como cronogramas de aula, planilhas de notas e planilhas de participação. Organize sua vida familiar com planejadores de refeições, listas de verificação e registros de exercícios. Cada modelo é completamente pesquisado, refinado e aprimorado ao longo do tempo com o feedback de milhares de usuários.</t>
  </si>
  <si>
    <t>Clínica Lotus</t>
  </si>
  <si>
    <t>Planejamento</t>
  </si>
  <si>
    <t>Pesquisa</t>
  </si>
  <si>
    <t>Documentação</t>
  </si>
  <si>
    <t>Slides</t>
  </si>
  <si>
    <t>Gráfico</t>
  </si>
  <si>
    <t>Programação</t>
  </si>
  <si>
    <t>Backend</t>
  </si>
  <si>
    <t>Frontend</t>
  </si>
  <si>
    <t>Banco de Dados</t>
  </si>
  <si>
    <t>Arthur,Matheus e Rafaella</t>
  </si>
  <si>
    <t>Rafaella</t>
  </si>
  <si>
    <t>Arthur</t>
  </si>
  <si>
    <t>Arthur,Gustavo</t>
  </si>
  <si>
    <t>Matheus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</si>
</sst>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quot;R$&quot;\ * #,##0_-;\-&quot;R$&quot;\ * #,##0_-;_-&quot;R$&quot;\ * &quot;-&quot;_-;_-@_-"/>
    <numFmt numFmtId="44" formatCode="_-&quot;R$&quot;\ * #,##0.00_-;\-&quot;R$&quot;\ * #,##0.00_-;_-&quot;R$&quot;\ * &quot;-&quot;??_-;_-@_-"/>
    <numFmt numFmtId="164" formatCode="_(* #,##0_);_(* \(#,##0\);_(* &quot;-&quot;_);_(@_)"/>
    <numFmt numFmtId="165" formatCode="d/m/yy;@"/>
    <numFmt numFmtId="166" formatCode="d\-mmm\-yyyy"/>
    <numFmt numFmtId="167" formatCode="d"/>
    <numFmt numFmtId="168" formatCode="ddd\,\ dd/mm/yyyy"/>
  </numFmts>
  <fonts count="39"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6"/>
      <color theme="1"/>
      <name val="Calibri"/>
      <family val="2"/>
      <scheme val="minor"/>
    </font>
    <font>
      <sz val="8"/>
      <name val="Calibri"/>
      <family val="2"/>
      <scheme val="minor"/>
    </font>
  </fonts>
  <fills count="41">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9"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8" fontId="9" fillId="0" borderId="3">
      <alignment horizontal="center" vertical="center"/>
    </xf>
    <xf numFmtId="165"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6" fillId="0" borderId="0" applyNumberFormat="0" applyFill="0" applyBorder="0" applyAlignment="0" applyProtection="0"/>
    <xf numFmtId="0" fontId="27" fillId="10" borderId="0" applyNumberFormat="0" applyBorder="0" applyAlignment="0" applyProtection="0"/>
    <xf numFmtId="0" fontId="28" fillId="11" borderId="0" applyNumberFormat="0" applyBorder="0" applyAlignment="0" applyProtection="0"/>
    <xf numFmtId="0" fontId="29" fillId="12" borderId="0" applyNumberFormat="0" applyBorder="0" applyAlignment="0" applyProtection="0"/>
    <xf numFmtId="0" fontId="30" fillId="13" borderId="11" applyNumberFormat="0" applyAlignment="0" applyProtection="0"/>
    <xf numFmtId="0" fontId="31" fillId="14" borderId="12" applyNumberFormat="0" applyAlignment="0" applyProtection="0"/>
    <xf numFmtId="0" fontId="32" fillId="14" borderId="11" applyNumberFormat="0" applyAlignment="0" applyProtection="0"/>
    <xf numFmtId="0" fontId="33" fillId="0" borderId="13" applyNumberFormat="0" applyFill="0" applyAlignment="0" applyProtection="0"/>
    <xf numFmtId="0" fontId="34" fillId="15" borderId="14" applyNumberFormat="0" applyAlignment="0" applyProtection="0"/>
    <xf numFmtId="0" fontId="35" fillId="0" borderId="0" applyNumberFormat="0" applyFill="0" applyBorder="0" applyAlignment="0" applyProtection="0"/>
    <xf numFmtId="0" fontId="9" fillId="16"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17" borderId="0" applyNumberFormat="0" applyBorder="0" applyAlignment="0" applyProtection="0"/>
    <xf numFmtId="0" fontId="9"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cellStyleXfs>
  <cellXfs count="76">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9" borderId="1" xfId="0" applyFont="1" applyFill="1" applyBorder="1" applyAlignment="1">
      <alignment horizontal="left" vertical="center" indent="1"/>
    </xf>
    <xf numFmtId="0" fontId="7" fillId="9" borderId="1" xfId="0" applyFont="1" applyFill="1" applyBorder="1" applyAlignment="1">
      <alignment horizontal="center" vertical="center" wrapText="1"/>
    </xf>
    <xf numFmtId="0" fontId="12" fillId="8"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7" borderId="2" xfId="0" applyFont="1" applyFill="1" applyBorder="1" applyAlignment="1">
      <alignment horizontal="left" vertical="center" indent="1"/>
    </xf>
    <xf numFmtId="9" fontId="5" fillId="7" borderId="2" xfId="2" applyFont="1" applyFill="1" applyBorder="1" applyAlignment="1">
      <alignment horizontal="center" vertical="center"/>
    </xf>
    <xf numFmtId="9" fontId="5" fillId="4"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7">
      <alignment vertical="top"/>
    </xf>
    <xf numFmtId="0" fontId="9" fillId="6" borderId="2" xfId="11" applyFill="1">
      <alignment horizontal="center" vertical="center"/>
    </xf>
    <xf numFmtId="0" fontId="9" fillId="3" borderId="2" xfId="11" applyFill="1">
      <alignment horizontal="center" vertical="center"/>
    </xf>
    <xf numFmtId="0" fontId="9" fillId="7" borderId="2" xfId="11" applyFill="1">
      <alignment horizontal="center" vertical="center"/>
    </xf>
    <xf numFmtId="0" fontId="9" fillId="4"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5" fontId="0" fillId="6" borderId="2" xfId="0" applyNumberFormat="1" applyFill="1" applyBorder="1" applyAlignment="1">
      <alignment horizontal="center" vertical="center"/>
    </xf>
    <xf numFmtId="165" fontId="5" fillId="6" borderId="2" xfId="0" applyNumberFormat="1" applyFont="1" applyFill="1" applyBorder="1" applyAlignment="1">
      <alignment horizontal="center" vertical="center"/>
    </xf>
    <xf numFmtId="165" fontId="9" fillId="3" borderId="2" xfId="10" applyFill="1">
      <alignment horizontal="center" vertical="center"/>
    </xf>
    <xf numFmtId="165" fontId="0" fillId="7" borderId="2" xfId="0" applyNumberFormat="1" applyFill="1" applyBorder="1" applyAlignment="1">
      <alignment horizontal="center" vertical="center"/>
    </xf>
    <xf numFmtId="165" fontId="5" fillId="7" borderId="2" xfId="0" applyNumberFormat="1" applyFont="1" applyFill="1" applyBorder="1" applyAlignment="1">
      <alignment horizontal="center" vertical="center"/>
    </xf>
    <xf numFmtId="165" fontId="9" fillId="4" borderId="2" xfId="10" applyFill="1">
      <alignment horizontal="center" vertical="center"/>
    </xf>
    <xf numFmtId="165" fontId="9" fillId="0" borderId="2" xfId="10">
      <alignment horizontal="center" vertical="center"/>
    </xf>
    <xf numFmtId="165" fontId="4" fillId="2" borderId="2" xfId="0" applyNumberFormat="1" applyFont="1" applyFill="1" applyBorder="1" applyAlignment="1">
      <alignment horizontal="left" vertical="center"/>
    </xf>
    <xf numFmtId="165" fontId="5" fillId="2" borderId="2" xfId="0" applyNumberFormat="1" applyFont="1" applyFill="1" applyBorder="1" applyAlignment="1">
      <alignment horizontal="center" vertical="center"/>
    </xf>
    <xf numFmtId="167" fontId="11" fillId="5" borderId="6" xfId="0" applyNumberFormat="1" applyFont="1" applyFill="1" applyBorder="1" applyAlignment="1">
      <alignment horizontal="center" vertical="center"/>
    </xf>
    <xf numFmtId="167" fontId="11" fillId="5" borderId="0" xfId="0" applyNumberFormat="1" applyFont="1" applyFill="1" applyAlignment="1">
      <alignment horizontal="center" vertical="center"/>
    </xf>
    <xf numFmtId="167" fontId="11" fillId="5" borderId="7" xfId="0" applyNumberFormat="1" applyFont="1" applyFill="1" applyBorder="1" applyAlignment="1">
      <alignment horizontal="center" vertical="center"/>
    </xf>
    <xf numFmtId="0" fontId="37" fillId="0" borderId="0" xfId="6" applyFont="1"/>
    <xf numFmtId="0" fontId="9" fillId="0" borderId="0" xfId="8">
      <alignment horizontal="right" indent="1"/>
    </xf>
    <xf numFmtId="0" fontId="9" fillId="0" borderId="7" xfId="8" applyBorder="1">
      <alignment horizontal="right" indent="1"/>
    </xf>
    <xf numFmtId="166" fontId="0" fillId="5" borderId="4" xfId="0" applyNumberFormat="1" applyFill="1" applyBorder="1" applyAlignment="1">
      <alignment horizontal="left" vertical="center" wrapText="1" indent="1"/>
    </xf>
    <xf numFmtId="166" fontId="0" fillId="5" borderId="1" xfId="0" applyNumberFormat="1" applyFill="1" applyBorder="1" applyAlignment="1">
      <alignment horizontal="left" vertical="center" wrapText="1" indent="1"/>
    </xf>
    <xf numFmtId="166" fontId="0" fillId="5" borderId="5" xfId="0" applyNumberFormat="1" applyFill="1" applyBorder="1" applyAlignment="1">
      <alignment horizontal="left" vertical="center" wrapText="1" indent="1"/>
    </xf>
    <xf numFmtId="168" fontId="9" fillId="0" borderId="3" xfId="9">
      <alignment horizontal="center" vertical="center"/>
    </xf>
  </cellXfs>
  <cellStyles count="54">
    <cellStyle name="20% - Ênfase1" xfId="31" builtinId="30" customBuiltin="1"/>
    <cellStyle name="20% - Ênfase2" xfId="35" builtinId="34" customBuiltin="1"/>
    <cellStyle name="20% - Ênfase3" xfId="39" builtinId="38" customBuiltin="1"/>
    <cellStyle name="20% - Ênfase4" xfId="43" builtinId="42" customBuiltin="1"/>
    <cellStyle name="20% - Ênfase5" xfId="47" builtinId="46" customBuiltin="1"/>
    <cellStyle name="20% - Ênfase6" xfId="51" builtinId="50" customBuiltin="1"/>
    <cellStyle name="40% - Ênfase1" xfId="32" builtinId="31" customBuiltin="1"/>
    <cellStyle name="40% - Ênfase2" xfId="36" builtinId="35" customBuiltin="1"/>
    <cellStyle name="40% - Ênfase3" xfId="40" builtinId="39" customBuiltin="1"/>
    <cellStyle name="40% - Ênfase4" xfId="44" builtinId="43" customBuiltin="1"/>
    <cellStyle name="40% - Ênfase5" xfId="48" builtinId="47" customBuiltin="1"/>
    <cellStyle name="40% - Ênfase6" xfId="52" builtinId="51" customBuiltin="1"/>
    <cellStyle name="60% - Ênfase1" xfId="33" builtinId="32" customBuiltin="1"/>
    <cellStyle name="60% - Ênfase2" xfId="37" builtinId="36" customBuiltin="1"/>
    <cellStyle name="60% - Ênfase3" xfId="41" builtinId="40" customBuiltin="1"/>
    <cellStyle name="60% - Ênfase4" xfId="45" builtinId="44" customBuiltin="1"/>
    <cellStyle name="60% - Ênfase5" xfId="49" builtinId="48" customBuiltin="1"/>
    <cellStyle name="60% - Ênfase6" xfId="53" builtinId="52" customBuiltin="1"/>
    <cellStyle name="Bom" xfId="18" builtinId="26" customBuiltin="1"/>
    <cellStyle name="Cálculo" xfId="23" builtinId="22" customBuiltin="1"/>
    <cellStyle name="Célula de Verificação" xfId="25" builtinId="23" customBuiltin="1"/>
    <cellStyle name="Célula Vinculada" xfId="24" builtinId="24" customBuiltin="1"/>
    <cellStyle name="Data" xfId="10" xr:uid="{229918B6-DD13-4F5A-97B9-305F7E002AA3}"/>
    <cellStyle name="Ênfase1" xfId="30" builtinId="29" customBuiltin="1"/>
    <cellStyle name="Ênfase2" xfId="34" builtinId="33" customBuiltin="1"/>
    <cellStyle name="Ênfase3" xfId="38" builtinId="37" customBuiltin="1"/>
    <cellStyle name="Ênfase4" xfId="42" builtinId="41" customBuiltin="1"/>
    <cellStyle name="Ênfase5" xfId="46" builtinId="45" customBuiltin="1"/>
    <cellStyle name="Ênfase6" xfId="50" builtinId="49" customBuiltin="1"/>
    <cellStyle name="Entrada" xfId="21" builtinId="20" customBuiltin="1"/>
    <cellStyle name="Hiperlink" xfId="1" builtinId="8" customBuiltin="1"/>
    <cellStyle name="Hiperlink Visitado" xfId="13" builtinId="9" customBuiltin="1"/>
    <cellStyle name="Início do Projeto" xfId="9" xr:uid="{8EB8A09A-C31C-40A3-B2C1-9449520178B8}"/>
    <cellStyle name="Moeda" xfId="15" builtinId="4" customBuiltin="1"/>
    <cellStyle name="Moeda [0]" xfId="16" builtinId="7" customBuiltin="1"/>
    <cellStyle name="Neutro" xfId="20" builtinId="28" customBuiltin="1"/>
    <cellStyle name="Nome" xfId="11" xr:uid="{B2D3C1EE-6B41-4801-AAFC-C2274E49E503}"/>
    <cellStyle name="Normal" xfId="0" builtinId="0" customBuiltin="1"/>
    <cellStyle name="Nota" xfId="27" builtinId="10" customBuiltin="1"/>
    <cellStyle name="Porcentagem" xfId="2" builtinId="5" customBuiltin="1"/>
    <cellStyle name="Ruim" xfId="19" builtinId="27" customBuiltin="1"/>
    <cellStyle name="Saída" xfId="22" builtinId="21" customBuiltin="1"/>
    <cellStyle name="Separador de milhares [0]" xfId="14" builtinId="6" customBuiltin="1"/>
    <cellStyle name="Tarefa" xfId="12" xr:uid="{6391D789-272B-4DD2-9BF3-2CDCF610FA41}"/>
    <cellStyle name="Texto de Aviso" xfId="26" builtinId="11" customBuiltin="1"/>
    <cellStyle name="Texto Explicativo" xfId="28" builtinId="53" customBuiltin="1"/>
    <cellStyle name="Título" xfId="5" builtinId="15" customBuiltin="1"/>
    <cellStyle name="Título 1" xfId="6" builtinId="16" customBuiltin="1"/>
    <cellStyle name="Título 2" xfId="7" builtinId="17" customBuiltin="1"/>
    <cellStyle name="Título 3" xfId="8" builtinId="18" customBuiltin="1"/>
    <cellStyle name="Título 4" xfId="17" builtinId="19" customBuiltin="1"/>
    <cellStyle name="Total" xfId="29" builtinId="25" customBuiltin="1"/>
    <cellStyle name="Vírgula" xfId="4" builtinId="3"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DeTarefasPend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m 1" descr="Logotipo da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pane ySplit="6" topLeftCell="A8" activePane="bottomLeft" state="frozen"/>
      <selection pane="bottomLeft" activeCell="F15" sqref="F15"/>
    </sheetView>
  </sheetViews>
  <sheetFormatPr defaultRowHeight="30" customHeight="1" x14ac:dyDescent="0.3"/>
  <cols>
    <col min="1" max="1" width="2.6640625" style="39" customWidth="1"/>
    <col min="2" max="2" width="19.88671875" customWidth="1"/>
    <col min="3" max="3" width="30.6640625" customWidth="1"/>
    <col min="4" max="4" width="10.6640625" customWidth="1"/>
    <col min="5" max="5" width="10.44140625" style="5" customWidth="1"/>
    <col min="6" max="6" width="10.44140625" customWidth="1"/>
    <col min="7" max="7" width="2.6640625" customWidth="1"/>
    <col min="8" max="8" width="6.109375" hidden="1" customWidth="1"/>
    <col min="9" max="64" width="2.5546875" customWidth="1"/>
    <col min="69" max="70" width="10.33203125"/>
  </cols>
  <sheetData>
    <row r="1" spans="1:64" ht="30" customHeight="1" x14ac:dyDescent="0.55000000000000004">
      <c r="A1" s="40" t="s">
        <v>0</v>
      </c>
      <c r="B1" s="43"/>
      <c r="C1" s="1"/>
      <c r="D1" s="2"/>
      <c r="E1" s="4"/>
      <c r="F1" s="28"/>
      <c r="H1" s="2"/>
      <c r="I1" s="54" t="s">
        <v>21</v>
      </c>
    </row>
    <row r="2" spans="1:64" ht="30" customHeight="1" x14ac:dyDescent="0.4">
      <c r="A2" s="39" t="s">
        <v>1</v>
      </c>
      <c r="B2" s="69" t="s">
        <v>36</v>
      </c>
      <c r="I2" s="55" t="s">
        <v>22</v>
      </c>
    </row>
    <row r="3" spans="1:64" ht="30" customHeight="1" x14ac:dyDescent="0.3">
      <c r="A3" s="39" t="s">
        <v>2</v>
      </c>
      <c r="B3" s="44"/>
      <c r="C3" s="70" t="s">
        <v>14</v>
      </c>
      <c r="D3" s="71"/>
      <c r="E3" s="75">
        <v>46142</v>
      </c>
      <c r="F3" s="75"/>
    </row>
    <row r="4" spans="1:64" ht="30" customHeight="1" x14ac:dyDescent="0.3">
      <c r="A4" s="40" t="s">
        <v>3</v>
      </c>
      <c r="C4" s="70" t="s">
        <v>15</v>
      </c>
      <c r="D4" s="71"/>
      <c r="E4" s="7">
        <v>1</v>
      </c>
      <c r="I4" s="72">
        <f>I5</f>
        <v>46139</v>
      </c>
      <c r="J4" s="73"/>
      <c r="K4" s="73"/>
      <c r="L4" s="73"/>
      <c r="M4" s="73"/>
      <c r="N4" s="73"/>
      <c r="O4" s="74"/>
      <c r="P4" s="72">
        <f>P5</f>
        <v>46146</v>
      </c>
      <c r="Q4" s="73"/>
      <c r="R4" s="73"/>
      <c r="S4" s="73"/>
      <c r="T4" s="73"/>
      <c r="U4" s="73"/>
      <c r="V4" s="74"/>
      <c r="W4" s="72">
        <f>W5</f>
        <v>46153</v>
      </c>
      <c r="X4" s="73"/>
      <c r="Y4" s="73"/>
      <c r="Z4" s="73"/>
      <c r="AA4" s="73"/>
      <c r="AB4" s="73"/>
      <c r="AC4" s="74"/>
      <c r="AD4" s="72">
        <f>AD5</f>
        <v>46160</v>
      </c>
      <c r="AE4" s="73"/>
      <c r="AF4" s="73"/>
      <c r="AG4" s="73"/>
      <c r="AH4" s="73"/>
      <c r="AI4" s="73"/>
      <c r="AJ4" s="74"/>
      <c r="AK4" s="72">
        <f>AK5</f>
        <v>46167</v>
      </c>
      <c r="AL4" s="73"/>
      <c r="AM4" s="73"/>
      <c r="AN4" s="73"/>
      <c r="AO4" s="73"/>
      <c r="AP4" s="73"/>
      <c r="AQ4" s="74"/>
      <c r="AR4" s="72">
        <f>AR5</f>
        <v>46174</v>
      </c>
      <c r="AS4" s="73"/>
      <c r="AT4" s="73"/>
      <c r="AU4" s="73"/>
      <c r="AV4" s="73"/>
      <c r="AW4" s="73"/>
      <c r="AX4" s="74"/>
      <c r="AY4" s="72">
        <f>AY5</f>
        <v>46181</v>
      </c>
      <c r="AZ4" s="73"/>
      <c r="BA4" s="73"/>
      <c r="BB4" s="73"/>
      <c r="BC4" s="73"/>
      <c r="BD4" s="73"/>
      <c r="BE4" s="74"/>
      <c r="BF4" s="72">
        <f>BF5</f>
        <v>46188</v>
      </c>
      <c r="BG4" s="73"/>
      <c r="BH4" s="73"/>
      <c r="BI4" s="73"/>
      <c r="BJ4" s="73"/>
      <c r="BK4" s="73"/>
      <c r="BL4" s="74"/>
    </row>
    <row r="5" spans="1:64" ht="15" customHeight="1" x14ac:dyDescent="0.3">
      <c r="A5" s="40" t="s">
        <v>4</v>
      </c>
      <c r="B5" s="53"/>
      <c r="C5" s="53"/>
      <c r="D5" s="53"/>
      <c r="E5" s="53"/>
      <c r="F5" s="53"/>
      <c r="G5" s="53"/>
      <c r="I5" s="66">
        <f>Início_do_projeto-WEEKDAY(Início_do_projeto,1)+2+7*(Semana_de_exibição-1)</f>
        <v>46139</v>
      </c>
      <c r="J5" s="67">
        <f>I5+1</f>
        <v>46140</v>
      </c>
      <c r="K5" s="67">
        <f t="shared" ref="K5:AX5" si="0">J5+1</f>
        <v>46141</v>
      </c>
      <c r="L5" s="67">
        <f t="shared" si="0"/>
        <v>46142</v>
      </c>
      <c r="M5" s="67">
        <f t="shared" si="0"/>
        <v>46143</v>
      </c>
      <c r="N5" s="67">
        <f t="shared" si="0"/>
        <v>46144</v>
      </c>
      <c r="O5" s="68">
        <f t="shared" si="0"/>
        <v>46145</v>
      </c>
      <c r="P5" s="66">
        <f>O5+1</f>
        <v>46146</v>
      </c>
      <c r="Q5" s="67">
        <f>P5+1</f>
        <v>46147</v>
      </c>
      <c r="R5" s="67">
        <f t="shared" si="0"/>
        <v>46148</v>
      </c>
      <c r="S5" s="67">
        <f t="shared" si="0"/>
        <v>46149</v>
      </c>
      <c r="T5" s="67">
        <f t="shared" si="0"/>
        <v>46150</v>
      </c>
      <c r="U5" s="67">
        <f t="shared" si="0"/>
        <v>46151</v>
      </c>
      <c r="V5" s="68">
        <f t="shared" si="0"/>
        <v>46152</v>
      </c>
      <c r="W5" s="66">
        <f>V5+1</f>
        <v>46153</v>
      </c>
      <c r="X5" s="67">
        <f>W5+1</f>
        <v>46154</v>
      </c>
      <c r="Y5" s="67">
        <f t="shared" si="0"/>
        <v>46155</v>
      </c>
      <c r="Z5" s="67">
        <f t="shared" si="0"/>
        <v>46156</v>
      </c>
      <c r="AA5" s="67">
        <f t="shared" si="0"/>
        <v>46157</v>
      </c>
      <c r="AB5" s="67">
        <f t="shared" si="0"/>
        <v>46158</v>
      </c>
      <c r="AC5" s="68">
        <f t="shared" si="0"/>
        <v>46159</v>
      </c>
      <c r="AD5" s="66">
        <f>AC5+1</f>
        <v>46160</v>
      </c>
      <c r="AE5" s="67">
        <f>AD5+1</f>
        <v>46161</v>
      </c>
      <c r="AF5" s="67">
        <f t="shared" si="0"/>
        <v>46162</v>
      </c>
      <c r="AG5" s="67">
        <f t="shared" si="0"/>
        <v>46163</v>
      </c>
      <c r="AH5" s="67">
        <f t="shared" si="0"/>
        <v>46164</v>
      </c>
      <c r="AI5" s="67">
        <f t="shared" si="0"/>
        <v>46165</v>
      </c>
      <c r="AJ5" s="68">
        <f t="shared" si="0"/>
        <v>46166</v>
      </c>
      <c r="AK5" s="66">
        <f>AJ5+1</f>
        <v>46167</v>
      </c>
      <c r="AL5" s="67">
        <f>AK5+1</f>
        <v>46168</v>
      </c>
      <c r="AM5" s="67">
        <f t="shared" si="0"/>
        <v>46169</v>
      </c>
      <c r="AN5" s="67">
        <f t="shared" si="0"/>
        <v>46170</v>
      </c>
      <c r="AO5" s="67">
        <f t="shared" si="0"/>
        <v>46171</v>
      </c>
      <c r="AP5" s="67">
        <f t="shared" si="0"/>
        <v>46172</v>
      </c>
      <c r="AQ5" s="68">
        <f t="shared" si="0"/>
        <v>46173</v>
      </c>
      <c r="AR5" s="66">
        <f>AQ5+1</f>
        <v>46174</v>
      </c>
      <c r="AS5" s="67">
        <f>AR5+1</f>
        <v>46175</v>
      </c>
      <c r="AT5" s="67">
        <f t="shared" si="0"/>
        <v>46176</v>
      </c>
      <c r="AU5" s="67">
        <f t="shared" si="0"/>
        <v>46177</v>
      </c>
      <c r="AV5" s="67">
        <f t="shared" si="0"/>
        <v>46178</v>
      </c>
      <c r="AW5" s="67">
        <f t="shared" si="0"/>
        <v>46179</v>
      </c>
      <c r="AX5" s="68">
        <f t="shared" si="0"/>
        <v>46180</v>
      </c>
      <c r="AY5" s="66">
        <f>AX5+1</f>
        <v>46181</v>
      </c>
      <c r="AZ5" s="67">
        <f>AY5+1</f>
        <v>46182</v>
      </c>
      <c r="BA5" s="67">
        <f t="shared" ref="BA5:BE5" si="1">AZ5+1</f>
        <v>46183</v>
      </c>
      <c r="BB5" s="67">
        <f t="shared" si="1"/>
        <v>46184</v>
      </c>
      <c r="BC5" s="67">
        <f t="shared" si="1"/>
        <v>46185</v>
      </c>
      <c r="BD5" s="67">
        <f t="shared" si="1"/>
        <v>46186</v>
      </c>
      <c r="BE5" s="68">
        <f t="shared" si="1"/>
        <v>46187</v>
      </c>
      <c r="BF5" s="66">
        <f>BE5+1</f>
        <v>46188</v>
      </c>
      <c r="BG5" s="67">
        <f>BF5+1</f>
        <v>46189</v>
      </c>
      <c r="BH5" s="67">
        <f t="shared" ref="BH5:BL5" si="2">BG5+1</f>
        <v>46190</v>
      </c>
      <c r="BI5" s="67">
        <f t="shared" si="2"/>
        <v>46191</v>
      </c>
      <c r="BJ5" s="67">
        <f t="shared" si="2"/>
        <v>46192</v>
      </c>
      <c r="BK5" s="67">
        <f t="shared" si="2"/>
        <v>46193</v>
      </c>
      <c r="BL5" s="68">
        <f t="shared" si="2"/>
        <v>46194</v>
      </c>
    </row>
    <row r="6" spans="1:64" ht="30" customHeight="1" thickBot="1" x14ac:dyDescent="0.35">
      <c r="A6" s="40" t="s">
        <v>5</v>
      </c>
      <c r="B6" s="8" t="s">
        <v>13</v>
      </c>
      <c r="C6" s="9" t="s">
        <v>16</v>
      </c>
      <c r="D6" s="9" t="s">
        <v>17</v>
      </c>
      <c r="E6" s="9" t="s">
        <v>18</v>
      </c>
      <c r="F6" s="9" t="s">
        <v>19</v>
      </c>
      <c r="G6" s="9"/>
      <c r="H6" s="9" t="s">
        <v>20</v>
      </c>
      <c r="I6" s="10" t="str">
        <f t="shared" ref="I6" si="3">LEFT(TEXT(I5,"ddd"),1)</f>
        <v>s</v>
      </c>
      <c r="J6" s="10" t="str">
        <f t="shared" ref="J6:AR6" si="4">LEFT(TEXT(J5,"ddd"),1)</f>
        <v>t</v>
      </c>
      <c r="K6" s="10" t="str">
        <f t="shared" si="4"/>
        <v>q</v>
      </c>
      <c r="L6" s="10" t="str">
        <f t="shared" si="4"/>
        <v>q</v>
      </c>
      <c r="M6" s="10" t="str">
        <f t="shared" si="4"/>
        <v>s</v>
      </c>
      <c r="N6" s="10" t="str">
        <f t="shared" si="4"/>
        <v>s</v>
      </c>
      <c r="O6" s="10" t="str">
        <f t="shared" si="4"/>
        <v>d</v>
      </c>
      <c r="P6" s="10" t="str">
        <f t="shared" si="4"/>
        <v>s</v>
      </c>
      <c r="Q6" s="10" t="str">
        <f t="shared" si="4"/>
        <v>t</v>
      </c>
      <c r="R6" s="10" t="str">
        <f t="shared" si="4"/>
        <v>q</v>
      </c>
      <c r="S6" s="10" t="str">
        <f t="shared" si="4"/>
        <v>q</v>
      </c>
      <c r="T6" s="10" t="str">
        <f t="shared" si="4"/>
        <v>s</v>
      </c>
      <c r="U6" s="10" t="str">
        <f t="shared" si="4"/>
        <v>s</v>
      </c>
      <c r="V6" s="10" t="str">
        <f t="shared" si="4"/>
        <v>d</v>
      </c>
      <c r="W6" s="10" t="str">
        <f t="shared" si="4"/>
        <v>s</v>
      </c>
      <c r="X6" s="10" t="str">
        <f t="shared" si="4"/>
        <v>t</v>
      </c>
      <c r="Y6" s="10" t="str">
        <f t="shared" si="4"/>
        <v>q</v>
      </c>
      <c r="Z6" s="10" t="str">
        <f t="shared" si="4"/>
        <v>q</v>
      </c>
      <c r="AA6" s="10" t="str">
        <f t="shared" si="4"/>
        <v>s</v>
      </c>
      <c r="AB6" s="10" t="str">
        <f t="shared" si="4"/>
        <v>s</v>
      </c>
      <c r="AC6" s="10" t="str">
        <f t="shared" si="4"/>
        <v>d</v>
      </c>
      <c r="AD6" s="10" t="str">
        <f t="shared" si="4"/>
        <v>s</v>
      </c>
      <c r="AE6" s="10" t="str">
        <f t="shared" si="4"/>
        <v>t</v>
      </c>
      <c r="AF6" s="10" t="str">
        <f t="shared" si="4"/>
        <v>q</v>
      </c>
      <c r="AG6" s="10" t="str">
        <f t="shared" si="4"/>
        <v>q</v>
      </c>
      <c r="AH6" s="10" t="str">
        <f t="shared" si="4"/>
        <v>s</v>
      </c>
      <c r="AI6" s="10" t="str">
        <f t="shared" si="4"/>
        <v>s</v>
      </c>
      <c r="AJ6" s="10" t="str">
        <f t="shared" si="4"/>
        <v>d</v>
      </c>
      <c r="AK6" s="10" t="str">
        <f t="shared" si="4"/>
        <v>s</v>
      </c>
      <c r="AL6" s="10" t="str">
        <f t="shared" si="4"/>
        <v>t</v>
      </c>
      <c r="AM6" s="10" t="str">
        <f t="shared" si="4"/>
        <v>q</v>
      </c>
      <c r="AN6" s="10" t="str">
        <f t="shared" si="4"/>
        <v>q</v>
      </c>
      <c r="AO6" s="10" t="str">
        <f t="shared" si="4"/>
        <v>s</v>
      </c>
      <c r="AP6" s="10" t="str">
        <f t="shared" si="4"/>
        <v>s</v>
      </c>
      <c r="AQ6" s="10" t="str">
        <f t="shared" si="4"/>
        <v>d</v>
      </c>
      <c r="AR6" s="10" t="str">
        <f t="shared" si="4"/>
        <v>s</v>
      </c>
      <c r="AS6" s="10" t="str">
        <f t="shared" ref="AS6:BL6" si="5">LEFT(TEXT(AS5,"ddd"),1)</f>
        <v>t</v>
      </c>
      <c r="AT6" s="10" t="str">
        <f t="shared" si="5"/>
        <v>q</v>
      </c>
      <c r="AU6" s="10" t="str">
        <f t="shared" si="5"/>
        <v>q</v>
      </c>
      <c r="AV6" s="10" t="str">
        <f t="shared" si="5"/>
        <v>s</v>
      </c>
      <c r="AW6" s="10" t="str">
        <f t="shared" si="5"/>
        <v>s</v>
      </c>
      <c r="AX6" s="10" t="str">
        <f t="shared" si="5"/>
        <v>d</v>
      </c>
      <c r="AY6" s="10" t="str">
        <f t="shared" si="5"/>
        <v>s</v>
      </c>
      <c r="AZ6" s="10" t="str">
        <f t="shared" si="5"/>
        <v>t</v>
      </c>
      <c r="BA6" s="10" t="str">
        <f t="shared" si="5"/>
        <v>q</v>
      </c>
      <c r="BB6" s="10" t="str">
        <f t="shared" si="5"/>
        <v>q</v>
      </c>
      <c r="BC6" s="10" t="str">
        <f t="shared" si="5"/>
        <v>s</v>
      </c>
      <c r="BD6" s="10" t="str">
        <f t="shared" si="5"/>
        <v>s</v>
      </c>
      <c r="BE6" s="10" t="str">
        <f t="shared" si="5"/>
        <v>d</v>
      </c>
      <c r="BF6" s="10" t="str">
        <f t="shared" si="5"/>
        <v>s</v>
      </c>
      <c r="BG6" s="10" t="str">
        <f t="shared" si="5"/>
        <v>t</v>
      </c>
      <c r="BH6" s="10" t="str">
        <f t="shared" si="5"/>
        <v>q</v>
      </c>
      <c r="BI6" s="10" t="str">
        <f t="shared" si="5"/>
        <v>q</v>
      </c>
      <c r="BJ6" s="10" t="str">
        <f t="shared" si="5"/>
        <v>s</v>
      </c>
      <c r="BK6" s="10" t="str">
        <f t="shared" si="5"/>
        <v>s</v>
      </c>
      <c r="BL6" s="10" t="str">
        <f t="shared" si="5"/>
        <v>d</v>
      </c>
    </row>
    <row r="7" spans="1:64" ht="30" hidden="1" customHeight="1" thickBot="1" x14ac:dyDescent="0.35">
      <c r="A7" s="39" t="s">
        <v>6</v>
      </c>
      <c r="C7" s="42"/>
      <c r="E7"/>
      <c r="H7" t="str">
        <f>IF(OR(ISBLANK(Início_da_tarefa),ISBLANK(Término_da_tarefa)),"",Término_da_tarefa-Início_da_tarefa+1)</f>
        <v/>
      </c>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row>
    <row r="8" spans="1:64" s="3" customFormat="1" ht="30" customHeight="1" thickBot="1" x14ac:dyDescent="0.35">
      <c r="A8" s="40" t="s">
        <v>7</v>
      </c>
      <c r="B8" s="15" t="s">
        <v>37</v>
      </c>
      <c r="C8" s="45"/>
      <c r="D8" s="16"/>
      <c r="E8" s="57"/>
      <c r="F8" s="58"/>
      <c r="G8" s="14"/>
      <c r="H8" s="14" t="str">
        <f t="shared" ref="H8:H32" si="6">IF(OR(ISBLANK(Início_da_tarefa),ISBLANK(Término_da_tarefa)),"",Término_da_tarefa-Início_da_tarefa+1)</f>
        <v/>
      </c>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row>
    <row r="9" spans="1:64" s="3" customFormat="1" ht="30" customHeight="1" thickBot="1" x14ac:dyDescent="0.35">
      <c r="A9" s="40" t="s">
        <v>8</v>
      </c>
      <c r="B9" s="50" t="s">
        <v>38</v>
      </c>
      <c r="C9" s="46" t="s">
        <v>46</v>
      </c>
      <c r="D9" s="17">
        <v>1</v>
      </c>
      <c r="E9" s="59">
        <v>46142</v>
      </c>
      <c r="F9" s="59">
        <v>46149</v>
      </c>
      <c r="G9" s="14"/>
      <c r="H9" s="14">
        <f t="shared" si="6"/>
        <v>8</v>
      </c>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row>
    <row r="10" spans="1:64" s="3" customFormat="1" ht="30" customHeight="1" thickBot="1" x14ac:dyDescent="0.35">
      <c r="A10" s="40" t="s">
        <v>9</v>
      </c>
      <c r="B10" s="50" t="s">
        <v>39</v>
      </c>
      <c r="C10" s="46" t="s">
        <v>50</v>
      </c>
      <c r="D10" s="17">
        <v>0.6</v>
      </c>
      <c r="E10" s="59">
        <f>E9</f>
        <v>46142</v>
      </c>
      <c r="F10" s="59">
        <f>E10+2</f>
        <v>46144</v>
      </c>
      <c r="G10" s="14"/>
      <c r="H10" s="14">
        <f t="shared" si="6"/>
        <v>3</v>
      </c>
      <c r="I10" s="25"/>
      <c r="J10" s="25"/>
      <c r="K10" s="25"/>
      <c r="L10" s="25"/>
      <c r="M10" s="25"/>
      <c r="N10" s="25"/>
      <c r="O10" s="25"/>
      <c r="P10" s="25"/>
      <c r="Q10" s="25"/>
      <c r="R10" s="25"/>
      <c r="S10" s="25"/>
      <c r="T10" s="25"/>
      <c r="U10" s="26"/>
      <c r="V10" s="26"/>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row>
    <row r="11" spans="1:64" s="3" customFormat="1" ht="30" customHeight="1" thickBot="1" x14ac:dyDescent="0.35">
      <c r="A11" s="39"/>
      <c r="B11" s="50" t="s">
        <v>40</v>
      </c>
      <c r="C11" s="46" t="s">
        <v>47</v>
      </c>
      <c r="D11" s="17">
        <v>1</v>
      </c>
      <c r="E11" s="59">
        <f>E9</f>
        <v>46142</v>
      </c>
      <c r="F11" s="59">
        <f>E11+4</f>
        <v>46146</v>
      </c>
      <c r="G11" s="14"/>
      <c r="H11" s="14">
        <f t="shared" si="6"/>
        <v>5</v>
      </c>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row>
    <row r="12" spans="1:64" s="3" customFormat="1" ht="30" customHeight="1" thickBot="1" x14ac:dyDescent="0.35">
      <c r="A12" s="39"/>
      <c r="B12" s="50" t="s">
        <v>41</v>
      </c>
      <c r="C12" s="46" t="s">
        <v>48</v>
      </c>
      <c r="D12" s="17">
        <v>1</v>
      </c>
      <c r="E12" s="59">
        <f>E9</f>
        <v>46142</v>
      </c>
      <c r="F12" s="59">
        <f>E12+5</f>
        <v>46147</v>
      </c>
      <c r="G12" s="14"/>
      <c r="H12" s="14">
        <f t="shared" si="6"/>
        <v>6</v>
      </c>
      <c r="I12" s="25"/>
      <c r="J12" s="25"/>
      <c r="K12" s="25"/>
      <c r="L12" s="25"/>
      <c r="M12" s="25"/>
      <c r="N12" s="25"/>
      <c r="O12" s="25"/>
      <c r="P12" s="25"/>
      <c r="Q12" s="25"/>
      <c r="R12" s="25"/>
      <c r="S12" s="25"/>
      <c r="T12" s="25"/>
      <c r="U12" s="25"/>
      <c r="V12" s="25"/>
      <c r="W12" s="25"/>
      <c r="X12" s="25"/>
      <c r="Y12" s="26"/>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row>
    <row r="13" spans="1:64" s="3" customFormat="1" ht="30" customHeight="1" thickBot="1" x14ac:dyDescent="0.35">
      <c r="A13" s="39"/>
      <c r="B13" s="18" t="s">
        <v>42</v>
      </c>
      <c r="C13" s="47"/>
      <c r="D13" s="19"/>
      <c r="E13" s="60"/>
      <c r="F13" s="61"/>
      <c r="G13" s="14"/>
      <c r="H13" s="14"/>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row>
    <row r="14" spans="1:64" s="3" customFormat="1" ht="30" customHeight="1" thickBot="1" x14ac:dyDescent="0.35">
      <c r="A14" s="40" t="s">
        <v>10</v>
      </c>
      <c r="B14" s="51" t="s">
        <v>43</v>
      </c>
      <c r="C14" s="48" t="s">
        <v>49</v>
      </c>
      <c r="D14" s="20">
        <v>1</v>
      </c>
      <c r="E14" s="62">
        <v>46149</v>
      </c>
      <c r="F14" s="62">
        <f>E14+5</f>
        <v>46154</v>
      </c>
      <c r="G14" s="14"/>
      <c r="H14" s="14">
        <f t="shared" si="6"/>
        <v>6</v>
      </c>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row>
    <row r="15" spans="1:64" s="3" customFormat="1" ht="30" customHeight="1" thickBot="1" x14ac:dyDescent="0.35">
      <c r="A15" s="40"/>
      <c r="B15" s="51" t="s">
        <v>44</v>
      </c>
      <c r="C15" s="48" t="s">
        <v>50</v>
      </c>
      <c r="D15" s="20">
        <v>1</v>
      </c>
      <c r="E15" s="62">
        <f>E14</f>
        <v>46149</v>
      </c>
      <c r="F15" s="62">
        <f>E15+5</f>
        <v>46154</v>
      </c>
      <c r="G15" s="14"/>
      <c r="H15" s="14">
        <f t="shared" si="6"/>
        <v>6</v>
      </c>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row>
    <row r="16" spans="1:64" s="3" customFormat="1" ht="30" customHeight="1" thickBot="1" x14ac:dyDescent="0.35">
      <c r="A16" s="39"/>
      <c r="B16" s="51" t="s">
        <v>45</v>
      </c>
      <c r="C16" s="48" t="s">
        <v>47</v>
      </c>
      <c r="D16" s="20">
        <v>1</v>
      </c>
      <c r="E16" s="62">
        <f>E15</f>
        <v>46149</v>
      </c>
      <c r="F16" s="62">
        <f>E16+3</f>
        <v>46152</v>
      </c>
      <c r="G16" s="14"/>
      <c r="H16" s="14">
        <f t="shared" si="6"/>
        <v>4</v>
      </c>
      <c r="I16" s="25"/>
      <c r="J16" s="25"/>
      <c r="K16" s="25"/>
      <c r="L16" s="25"/>
      <c r="M16" s="25"/>
      <c r="N16" s="25"/>
      <c r="O16" s="25"/>
      <c r="P16" s="25"/>
      <c r="Q16" s="25"/>
      <c r="R16" s="25"/>
      <c r="S16" s="25"/>
      <c r="T16" s="25"/>
      <c r="U16" s="26"/>
      <c r="V16" s="26"/>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row>
    <row r="17" spans="1:64" s="3" customFormat="1" ht="30" customHeight="1" thickBot="1" x14ac:dyDescent="0.35">
      <c r="A17" s="39"/>
      <c r="B17" s="52"/>
      <c r="C17" s="49"/>
      <c r="D17" s="13"/>
      <c r="E17" s="63"/>
      <c r="F17" s="63"/>
      <c r="G17" s="14"/>
      <c r="H17" s="14" t="str">
        <f t="shared" si="6"/>
        <v/>
      </c>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row>
    <row r="18" spans="1:64" s="3" customFormat="1" ht="30" customHeight="1" thickBot="1" x14ac:dyDescent="0.35">
      <c r="A18" s="39"/>
      <c r="B18" s="52"/>
      <c r="C18" s="49"/>
      <c r="D18" s="13"/>
      <c r="E18" s="63"/>
      <c r="F18" s="63"/>
      <c r="G18" s="14"/>
      <c r="H18" s="14" t="str">
        <f t="shared" si="6"/>
        <v/>
      </c>
      <c r="I18" s="25"/>
      <c r="J18" s="25"/>
      <c r="K18" s="25"/>
      <c r="L18" s="25"/>
      <c r="M18" s="25"/>
      <c r="N18" s="25"/>
      <c r="O18" s="25"/>
      <c r="P18" s="25"/>
      <c r="Q18" s="25"/>
      <c r="R18" s="25"/>
      <c r="S18" s="25"/>
      <c r="T18" s="25"/>
      <c r="U18" s="25"/>
      <c r="V18" s="25"/>
      <c r="W18" s="25"/>
      <c r="X18" s="25"/>
      <c r="Y18" s="26"/>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row>
    <row r="19" spans="1:64" s="3" customFormat="1" ht="30" customHeight="1" thickBot="1" x14ac:dyDescent="0.35">
      <c r="A19" s="39"/>
      <c r="B19" s="52"/>
      <c r="C19" s="49"/>
      <c r="D19" s="13"/>
      <c r="E19" s="63"/>
      <c r="F19" s="63"/>
      <c r="G19" s="14"/>
      <c r="H19" s="14" t="str">
        <f t="shared" si="6"/>
        <v/>
      </c>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row>
    <row r="20" spans="1:64" s="3" customFormat="1" ht="30" customHeight="1" thickBot="1" x14ac:dyDescent="0.35">
      <c r="A20" s="39"/>
      <c r="B20" s="52"/>
      <c r="C20" s="49"/>
      <c r="D20" s="13"/>
      <c r="E20" s="63"/>
      <c r="F20" s="63"/>
      <c r="G20" s="14"/>
      <c r="H20" s="14" t="str">
        <f t="shared" si="6"/>
        <v/>
      </c>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row>
    <row r="21" spans="1:64" s="3" customFormat="1" ht="30" customHeight="1" thickBot="1" x14ac:dyDescent="0.35">
      <c r="A21" s="39"/>
      <c r="B21" s="52"/>
      <c r="C21" s="49"/>
      <c r="D21" s="13"/>
      <c r="E21" s="63"/>
      <c r="F21" s="63"/>
      <c r="G21" s="14"/>
      <c r="H21" s="14" t="str">
        <f t="shared" si="6"/>
        <v/>
      </c>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row>
    <row r="22" spans="1:64" s="3" customFormat="1" ht="30" customHeight="1" thickBot="1" x14ac:dyDescent="0.35">
      <c r="A22" s="39"/>
      <c r="B22" s="52"/>
      <c r="C22" s="49"/>
      <c r="D22" s="13"/>
      <c r="E22" s="63"/>
      <c r="F22" s="63"/>
      <c r="G22" s="14"/>
      <c r="H22" s="14" t="str">
        <f t="shared" si="6"/>
        <v/>
      </c>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row>
    <row r="23" spans="1:64" s="3" customFormat="1" ht="30" customHeight="1" thickBot="1" x14ac:dyDescent="0.35">
      <c r="A23" s="39"/>
      <c r="B23" s="52"/>
      <c r="C23" s="49"/>
      <c r="D23" s="13"/>
      <c r="E23" s="63"/>
      <c r="F23" s="63"/>
      <c r="G23" s="14"/>
      <c r="H23" s="14" t="str">
        <f t="shared" si="6"/>
        <v/>
      </c>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row>
    <row r="24" spans="1:64" s="3" customFormat="1" ht="30" customHeight="1" thickBot="1" x14ac:dyDescent="0.35">
      <c r="A24" s="39"/>
      <c r="B24" s="52"/>
      <c r="C24" s="49"/>
      <c r="D24" s="13"/>
      <c r="E24" s="63"/>
      <c r="F24" s="63"/>
      <c r="G24" s="14"/>
      <c r="H24" s="14" t="str">
        <f t="shared" si="6"/>
        <v/>
      </c>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row>
    <row r="25" spans="1:64" s="3" customFormat="1" ht="30" customHeight="1" thickBot="1" x14ac:dyDescent="0.35">
      <c r="A25" s="39"/>
      <c r="B25" s="52"/>
      <c r="C25" s="49"/>
      <c r="D25" s="13"/>
      <c r="E25" s="63"/>
      <c r="F25" s="63"/>
      <c r="G25" s="14"/>
      <c r="H25" s="14" t="str">
        <f t="shared" si="6"/>
        <v/>
      </c>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row>
    <row r="26" spans="1:64" s="3" customFormat="1" ht="30" customHeight="1" thickBot="1" x14ac:dyDescent="0.35">
      <c r="A26" s="39"/>
      <c r="B26" s="52"/>
      <c r="C26" s="49"/>
      <c r="D26" s="13"/>
      <c r="E26" s="63"/>
      <c r="F26" s="63"/>
      <c r="G26" s="14"/>
      <c r="H26" s="14" t="str">
        <f t="shared" si="6"/>
        <v/>
      </c>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row>
    <row r="27" spans="1:64" s="3" customFormat="1" ht="30" customHeight="1" thickBot="1" x14ac:dyDescent="0.35">
      <c r="A27" s="39"/>
      <c r="B27" s="52"/>
      <c r="C27" s="49"/>
      <c r="D27" s="13"/>
      <c r="E27" s="63"/>
      <c r="F27" s="63"/>
      <c r="G27" s="14"/>
      <c r="H27" s="14" t="str">
        <f t="shared" si="6"/>
        <v/>
      </c>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row>
    <row r="28" spans="1:64" s="3" customFormat="1" ht="30" customHeight="1" thickBot="1" x14ac:dyDescent="0.35">
      <c r="A28" s="39"/>
      <c r="B28" s="52"/>
      <c r="C28" s="49"/>
      <c r="D28" s="13"/>
      <c r="E28" s="63"/>
      <c r="F28" s="63"/>
      <c r="G28" s="14"/>
      <c r="H28" s="14" t="str">
        <f t="shared" si="6"/>
        <v/>
      </c>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row>
    <row r="29" spans="1:64" s="3" customFormat="1" ht="30" customHeight="1" thickBot="1" x14ac:dyDescent="0.35">
      <c r="A29" s="39"/>
      <c r="B29" s="52"/>
      <c r="C29" s="49"/>
      <c r="D29" s="13"/>
      <c r="E29" s="63"/>
      <c r="F29" s="63"/>
      <c r="G29" s="14"/>
      <c r="H29" s="14" t="str">
        <f t="shared" si="6"/>
        <v/>
      </c>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row>
    <row r="30" spans="1:64" s="3" customFormat="1" ht="30" customHeight="1" thickBot="1" x14ac:dyDescent="0.35">
      <c r="A30" s="39"/>
      <c r="B30" s="52"/>
      <c r="C30" s="49"/>
      <c r="D30" s="13"/>
      <c r="E30" s="63"/>
      <c r="F30" s="63"/>
      <c r="G30" s="14"/>
      <c r="H30" s="14" t="str">
        <f t="shared" si="6"/>
        <v/>
      </c>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row>
    <row r="31" spans="1:64" s="3" customFormat="1" ht="30" customHeight="1" thickBot="1" x14ac:dyDescent="0.35">
      <c r="A31" s="39"/>
      <c r="B31" s="52"/>
      <c r="C31" s="21"/>
      <c r="D31" s="22"/>
      <c r="E31" s="23"/>
      <c r="F31" s="64"/>
      <c r="G31" s="65"/>
      <c r="H31" s="14" t="str">
        <f t="shared" si="6"/>
        <v/>
      </c>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row>
    <row r="32" spans="1:64" s="3" customFormat="1" ht="30" customHeight="1" thickBot="1" x14ac:dyDescent="0.35">
      <c r="A32" s="39" t="s">
        <v>11</v>
      </c>
      <c r="B32" s="52"/>
      <c r="C32" s="21"/>
      <c r="D32" s="22"/>
      <c r="E32" s="23"/>
      <c r="F32" s="64"/>
      <c r="G32" s="65"/>
      <c r="H32" s="14" t="str">
        <f t="shared" si="6"/>
        <v/>
      </c>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row>
    <row r="33" spans="1:64" s="3" customFormat="1" ht="30" customHeight="1" thickBot="1" x14ac:dyDescent="0.35">
      <c r="A33" s="40" t="s">
        <v>12</v>
      </c>
      <c r="G33" s="24"/>
      <c r="H33" s="24"/>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row>
    <row r="34" spans="1:64" ht="30" customHeight="1" x14ac:dyDescent="0.3">
      <c r="G34" s="6"/>
    </row>
    <row r="35" spans="1:64" ht="30" customHeight="1" x14ac:dyDescent="0.3">
      <c r="C35" s="11"/>
      <c r="F35" s="41"/>
    </row>
    <row r="36" spans="1:64" ht="30" customHeight="1" x14ac:dyDescent="0.3">
      <c r="C36" s="12"/>
    </row>
  </sheetData>
  <mergeCells count="11">
    <mergeCell ref="BF4:BL4"/>
    <mergeCell ref="E3:F3"/>
    <mergeCell ref="I4:O4"/>
    <mergeCell ref="P4:V4"/>
    <mergeCell ref="W4:AC4"/>
    <mergeCell ref="AD4:AJ4"/>
    <mergeCell ref="C3:D3"/>
    <mergeCell ref="C4:D4"/>
    <mergeCell ref="AK4:AQ4"/>
    <mergeCell ref="AR4:AX4"/>
    <mergeCell ref="AY4:BE4"/>
  </mergeCells>
  <phoneticPr fontId="38" type="noConversion"/>
  <conditionalFormatting sqref="D7:D30 E31:E32">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2" priority="33">
      <formula>AND(TODAY()&gt;=I$5,TODAY()&lt;J$5)</formula>
    </cfRule>
  </conditionalFormatting>
  <conditionalFormatting sqref="I7:BL33">
    <cfRule type="expression" dxfId="1" priority="27">
      <formula>AND(Início_da_tarefa&lt;=I$5,ROUNDDOWN((Término_da_tarefa-Início_da_tarefa+1)*Progresso_da_tarefa,0)+Início_da_tarefa-1&gt;=I$5)</formula>
    </cfRule>
    <cfRule type="expression" dxfId="0" priority="28" stopIfTrue="1">
      <formula>AND(Término_da_tarefa&gt;=I$5,Início_da_tarefa&lt;J$5)</formula>
    </cfRule>
  </conditionalFormatting>
  <dataValidations count="1">
    <dataValidation type="whole" operator="greaterThanOrEqual" allowBlank="1" showInputMessage="1" promptTitle="Semana de exibição" prompt="Alterar esse número rola a exibição do Gráfico de Gantt."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60"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D7:D30 E31:E32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09375" defaultRowHeight="13.8" x14ac:dyDescent="0.3"/>
  <cols>
    <col min="1" max="1" width="94.44140625" style="29" customWidth="1"/>
    <col min="2" max="16384" width="9.109375" style="2"/>
  </cols>
  <sheetData>
    <row r="1" spans="1:2" ht="46.5" customHeight="1" x14ac:dyDescent="0.3"/>
    <row r="2" spans="1:2" s="31" customFormat="1" ht="15.6" x14ac:dyDescent="0.3">
      <c r="A2" s="30" t="s">
        <v>21</v>
      </c>
      <c r="B2" s="30"/>
    </row>
    <row r="3" spans="1:2" s="35" customFormat="1" ht="27" customHeight="1" x14ac:dyDescent="0.3">
      <c r="A3" s="56" t="s">
        <v>22</v>
      </c>
      <c r="B3" s="36"/>
    </row>
    <row r="4" spans="1:2" s="32" customFormat="1" ht="25.8" x14ac:dyDescent="0.5">
      <c r="A4" s="33" t="s">
        <v>23</v>
      </c>
    </row>
    <row r="5" spans="1:2" ht="74.099999999999994" customHeight="1" x14ac:dyDescent="0.3">
      <c r="A5" s="34" t="s">
        <v>24</v>
      </c>
    </row>
    <row r="6" spans="1:2" ht="26.25" customHeight="1" x14ac:dyDescent="0.3">
      <c r="A6" s="33" t="s">
        <v>25</v>
      </c>
    </row>
    <row r="7" spans="1:2" s="29" customFormat="1" ht="204.9" customHeight="1" x14ac:dyDescent="0.3">
      <c r="A7" s="38" t="s">
        <v>26</v>
      </c>
    </row>
    <row r="8" spans="1:2" s="32" customFormat="1" ht="25.8" x14ac:dyDescent="0.5">
      <c r="A8" s="33" t="s">
        <v>27</v>
      </c>
    </row>
    <row r="9" spans="1:2" ht="57.6" x14ac:dyDescent="0.3">
      <c r="A9" s="34" t="s">
        <v>28</v>
      </c>
    </row>
    <row r="10" spans="1:2" s="29" customFormat="1" ht="27.9" customHeight="1" x14ac:dyDescent="0.3">
      <c r="A10" s="37" t="s">
        <v>29</v>
      </c>
    </row>
    <row r="11" spans="1:2" s="32" customFormat="1" ht="25.8" x14ac:dyDescent="0.5">
      <c r="A11" s="33" t="s">
        <v>30</v>
      </c>
    </row>
    <row r="12" spans="1:2" ht="28.8" x14ac:dyDescent="0.3">
      <c r="A12" s="34" t="s">
        <v>31</v>
      </c>
    </row>
    <row r="13" spans="1:2" s="29" customFormat="1" ht="27.9" customHeight="1" x14ac:dyDescent="0.3">
      <c r="A13" s="37" t="s">
        <v>32</v>
      </c>
    </row>
    <row r="14" spans="1:2" s="32" customFormat="1" ht="25.8" x14ac:dyDescent="0.5">
      <c r="A14" s="33" t="s">
        <v>33</v>
      </c>
    </row>
    <row r="15" spans="1:2" ht="75" customHeight="1" x14ac:dyDescent="0.3">
      <c r="A15" s="34" t="s">
        <v>34</v>
      </c>
    </row>
    <row r="16" spans="1:2" ht="75" customHeight="1" x14ac:dyDescent="0.3">
      <c r="A16" s="34" t="s">
        <v>35</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Planilhas</vt:lpstr>
      </vt:variant>
      <vt:variant>
        <vt:i4>2</vt:i4>
      </vt:variant>
      <vt:variant>
        <vt:lpstr>Intervalos Nomeados</vt:lpstr>
      </vt:variant>
      <vt:variant>
        <vt:i4>6</vt:i4>
      </vt:variant>
    </vt:vector>
  </HeadingPairs>
  <TitlesOfParts>
    <vt:vector size="8" baseType="lpstr">
      <vt:lpstr>CronogramaDeProjeto</vt:lpstr>
      <vt:lpstr>Sobre</vt:lpstr>
      <vt:lpstr>CronogramaDeProjeto!Início_da_tarefa</vt:lpstr>
      <vt:lpstr>Início_do_projeto</vt:lpstr>
      <vt:lpstr>CronogramaDeProjeto!Progresso_da_tarefa</vt:lpstr>
      <vt:lpstr>Semana_de_exibição</vt:lpstr>
      <vt:lpstr>CronogramaDeProjeto!Término_da_tarefa</vt:lpstr>
      <vt:lpstr>CronogramaDeProjeto!Titulos_de_impressao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2026-06-11T11:51:21Z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