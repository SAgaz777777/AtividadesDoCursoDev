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8_{817540DD-8CD6-45E9-B732-8E9C6FB6BEC2}" xr6:coauthVersionLast="47" xr6:coauthVersionMax="47" xr10:uidLastSave="{00000000-0000-0000-0000-000000000000}"/>
  <bookViews>
    <workbookView xWindow="-108" yWindow="-108" windowWidth="23256" windowHeight="12456" xr2:uid="{00000000-000D-0000-FFFF-FFFF00000000}"/>
  </bookViews>
  <sheets>
    <sheet name="CronogramaDeProjeto" sheetId="11" r:id="rId1"/>
    <sheet name="Sobre" sheetId="12" r:id="rId2"/>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11" l="1"/>
  <c r="F14" i="11"/>
  <c r="H14" i="11" s="1"/>
  <c r="F13" i="11"/>
  <c r="H13" i="11" s="1"/>
  <c r="F10" i="11"/>
  <c r="F11" i="11" s="1"/>
  <c r="E10" i="11"/>
  <c r="E11" i="11" s="1"/>
  <c r="E3" i="11"/>
  <c r="H7" i="11"/>
  <c r="H20" i="11" l="1"/>
  <c r="I5" i="11"/>
  <c r="H33" i="11"/>
  <c r="H32" i="11"/>
  <c r="H31" i="11"/>
  <c r="H30" i="11"/>
  <c r="H29" i="11"/>
  <c r="H28" i="11"/>
  <c r="H26" i="11"/>
  <c r="H8" i="11"/>
  <c r="H21" i="11" l="1"/>
  <c r="H9" i="11"/>
  <c r="I6" i="11"/>
  <c r="H27" i="11" l="1"/>
  <c r="H25" i="11"/>
  <c r="J5" i="11"/>
  <c r="K5" i="11" s="1"/>
  <c r="L5" i="11" s="1"/>
  <c r="M5" i="11" s="1"/>
  <c r="N5" i="11" s="1"/>
  <c r="O5" i="11" s="1"/>
  <c r="P5" i="11" s="1"/>
  <c r="I4" i="11"/>
  <c r="H23" i="11" l="1"/>
  <c r="H22" i="11"/>
  <c r="H24" i="11"/>
  <c r="P4" i="11"/>
  <c r="Q5" i="11"/>
  <c r="R5" i="11" s="1"/>
  <c r="S5" i="11" s="1"/>
  <c r="T5" i="11" s="1"/>
  <c r="U5" i="11" s="1"/>
  <c r="V5" i="11" s="1"/>
  <c r="W5" i="11" s="1"/>
  <c r="J6" i="11"/>
  <c r="H10" i="11" l="1"/>
  <c r="H18" i="11"/>
  <c r="W4" i="11"/>
  <c r="X5" i="11"/>
  <c r="Y5" i="11" s="1"/>
  <c r="Z5" i="11" s="1"/>
  <c r="AA5" i="11" s="1"/>
  <c r="AB5" i="11" s="1"/>
  <c r="AC5" i="11" s="1"/>
  <c r="AD5" i="11" s="1"/>
  <c r="K6" i="11"/>
  <c r="H15" i="11" l="1"/>
  <c r="H19" i="11"/>
  <c r="H16" i="11"/>
  <c r="AE5" i="11"/>
  <c r="AF5" i="11" s="1"/>
  <c r="AG5" i="11" s="1"/>
  <c r="AH5" i="11" s="1"/>
  <c r="AI5" i="11" s="1"/>
  <c r="AJ5" i="11" s="1"/>
  <c r="AD4" i="11"/>
  <c r="L6" i="11"/>
  <c r="H17" i="11" l="1"/>
  <c r="H11" i="11"/>
  <c r="AK5" i="1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<sst xmlns="http://schemas.openxmlformats.org/spreadsheetml/2006/main" count="56" uniqueCount="53">
  <si>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</si>
  <si>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</si>
  <si>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</si>
  <si>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</si>
  <si>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</si>
  <si>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</si>
  <si>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</si>
  <si>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</si>
  <si>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</si>
  <si>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</si>
  <si>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</si>
  <si>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</si>
  <si>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</si>
  <si>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</si>
  <si>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TAREFA</t>
  </si>
  <si>
    <t>Insira novas linhas ACIMA desta</t>
  </si>
  <si>
    <t>Início do projeto:</t>
  </si>
  <si>
    <t>Semana de exibição:</t>
  </si>
  <si>
    <t>ATRIBUÍDO
PARA</t>
  </si>
  <si>
    <t>PROGRESSO</t>
  </si>
  <si>
    <t>INÍCIO</t>
  </si>
  <si>
    <t>TÉRMINO</t>
  </si>
  <si>
    <t>DIAS</t>
  </si>
  <si>
    <t>GRÁFICO DE GANTT SIMPLES por Vertex42.com</t>
  </si>
  <si>
    <t>https://www.vertex42.com/ExcelTemplates/simple-gantt-chart.html</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</si>
  <si>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</si>
  <si>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</si>
  <si>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</si>
  <si>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</si>
  <si>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</si>
  <si>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</si>
  <si>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</si>
  <si>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</si>
  <si>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</si>
  <si>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</si>
  <si>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</si>
  <si>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</si>
  <si>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</si>
  <si>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Family Hub</t>
  </si>
  <si>
    <t xml:space="preserve">codificação </t>
  </si>
  <si>
    <t>Frontend</t>
  </si>
  <si>
    <t>Gabriel</t>
  </si>
  <si>
    <t>Backend</t>
  </si>
  <si>
    <t>Arthur</t>
  </si>
  <si>
    <t>Banco de dados</t>
  </si>
  <si>
    <t>Ana/sofia</t>
  </si>
  <si>
    <t>AAGS</t>
  </si>
  <si>
    <t>Ana Lara</t>
  </si>
  <si>
    <t>apresentação</t>
  </si>
  <si>
    <t>slides</t>
  </si>
  <si>
    <t>documentação</t>
  </si>
  <si>
    <t>Ana/Sofia</t>
  </si>
  <si>
    <t xml:space="preserve">                              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</si>
</sst>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9"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0" borderId="0" applyNumberFormat="0" applyBorder="0" applyAlignment="0" applyProtection="0"/>
    <xf numFmtId="0" fontId="28" fillId="11" borderId="0" applyNumberFormat="0" applyBorder="0" applyAlignment="0" applyProtection="0"/>
    <xf numFmtId="0" fontId="29" fillId="12" borderId="0" applyNumberFormat="0" applyBorder="0" applyAlignment="0" applyProtection="0"/>
    <xf numFmtId="0" fontId="30" fillId="13" borderId="11" applyNumberFormat="0" applyAlignment="0" applyProtection="0"/>
    <xf numFmtId="0" fontId="31" fillId="14" borderId="12" applyNumberFormat="0" applyAlignment="0" applyProtection="0"/>
    <xf numFmtId="0" fontId="32" fillId="14" borderId="11" applyNumberFormat="0" applyAlignment="0" applyProtection="0"/>
    <xf numFmtId="0" fontId="33" fillId="0" borderId="13" applyNumberFormat="0" applyFill="0" applyAlignment="0" applyProtection="0"/>
    <xf numFmtId="0" fontId="34" fillId="15" borderId="14" applyNumberFormat="0" applyAlignment="0" applyProtection="0"/>
    <xf numFmtId="0" fontId="35" fillId="0" borderId="0" applyNumberFormat="0" applyFill="0" applyBorder="0" applyAlignment="0" applyProtection="0"/>
    <xf numFmtId="0" fontId="9" fillId="16"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cellStyleXfs>
  <cellXfs count="7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9" borderId="1" xfId="0" applyFont="1" applyFill="1" applyBorder="1" applyAlignment="1">
      <alignment horizontal="left" vertical="center" indent="1"/>
    </xf>
    <xf numFmtId="0" fontId="7" fillId="9" borderId="1" xfId="0" applyFont="1" applyFill="1" applyBorder="1" applyAlignment="1">
      <alignment horizontal="center" vertical="center" wrapText="1"/>
    </xf>
    <xf numFmtId="0" fontId="12" fillId="8"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4"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6" borderId="2" xfId="11" applyFill="1">
      <alignment horizontal="center" vertical="center"/>
    </xf>
    <xf numFmtId="0" fontId="9" fillId="3" borderId="2" xfId="11" applyFill="1">
      <alignment horizontal="center" vertical="center"/>
    </xf>
    <xf numFmtId="0" fontId="9" fillId="7" borderId="2" xfId="11" applyFill="1">
      <alignment horizontal="center" vertical="center"/>
    </xf>
    <xf numFmtId="0" fontId="9" fillId="4"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165" fontId="9" fillId="3" borderId="2" xfId="10" applyFill="1">
      <alignment horizontal="center" vertical="center"/>
    </xf>
    <xf numFmtId="165" fontId="0" fillId="7" borderId="2" xfId="0" applyNumberFormat="1" applyFill="1" applyBorder="1" applyAlignment="1">
      <alignment horizontal="center" vertical="center"/>
    </xf>
    <xf numFmtId="165" fontId="5" fillId="7" borderId="2" xfId="0" applyNumberFormat="1" applyFont="1" applyFill="1" applyBorder="1" applyAlignment="1">
      <alignment horizontal="center" vertical="center"/>
    </xf>
    <xf numFmtId="165" fontId="9" fillId="4" borderId="2" xfId="10" applyFill="1">
      <alignment horizontal="center" vertical="center"/>
    </xf>
    <xf numFmtId="165" fontId="9" fillId="0" borderId="2" xfId="10">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167" fontId="11" fillId="5" borderId="6" xfId="0" applyNumberFormat="1" applyFont="1" applyFill="1" applyBorder="1" applyAlignment="1">
      <alignment horizontal="center" vertical="center"/>
    </xf>
    <xf numFmtId="167" fontId="11" fillId="5" borderId="0" xfId="0" applyNumberFormat="1" applyFont="1" applyFill="1" applyAlignment="1">
      <alignment horizontal="center" vertical="center"/>
    </xf>
    <xf numFmtId="167" fontId="11" fillId="5" borderId="7" xfId="0" applyNumberFormat="1" applyFont="1" applyFill="1" applyBorder="1" applyAlignment="1">
      <alignment horizontal="center" vertical="center"/>
    </xf>
    <xf numFmtId="166" fontId="0" fillId="5" borderId="4" xfId="0" applyNumberFormat="1" applyFill="1" applyBorder="1" applyAlignment="1">
      <alignment horizontal="left" vertical="center" wrapText="1" indent="1"/>
    </xf>
    <xf numFmtId="166" fontId="0" fillId="5" borderId="1" xfId="0" applyNumberFormat="1" applyFill="1" applyBorder="1" applyAlignment="1">
      <alignment horizontal="left" vertical="center" wrapText="1" indent="1"/>
    </xf>
    <xf numFmtId="166" fontId="0" fillId="5" borderId="5" xfId="0" applyNumberFormat="1" applyFill="1" applyBorder="1" applyAlignment="1">
      <alignment horizontal="left" vertical="center" wrapText="1" indent="1"/>
    </xf>
    <xf numFmtId="168" fontId="9" fillId="0" borderId="3" xfId="9">
      <alignment horizontal="center" vertical="center"/>
    </xf>
    <xf numFmtId="0" fontId="9" fillId="0" borderId="0" xfId="8">
      <alignment horizontal="right" indent="1"/>
    </xf>
    <xf numFmtId="0" fontId="9" fillId="0" borderId="7" xfId="8" applyBorder="1">
      <alignment horizontal="right" indent="1"/>
    </xf>
    <xf numFmtId="0" fontId="0" fillId="41" borderId="9" xfId="0" applyFill="1" applyBorder="1" applyAlignment="1">
      <alignment vertic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zoomScaleNormal="100" zoomScalePageLayoutView="70" workbookViewId="0">
      <pane ySplit="6" topLeftCell="A8" activePane="bottomLeft" state="frozen"/>
      <selection pane="bottomLeft" activeCell="B15" sqref="B15"/>
    </sheetView>
  </sheetViews>
  <sheetFormatPr defaultRowHeight="30" customHeight="1" x14ac:dyDescent="0.3"/>
  <cols>
    <col min="1" max="1" width="2.6640625" style="39" customWidth="1"/>
    <col min="2" max="2" width="19.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30" customHeight="1" x14ac:dyDescent="0.55000000000000004">
      <c r="A1" s="40" t="s">
        <v>0</v>
      </c>
      <c r="B1" s="43" t="s">
        <v>38</v>
      </c>
      <c r="C1" s="1"/>
      <c r="D1" s="2"/>
      <c r="E1" s="4"/>
      <c r="F1" s="28"/>
      <c r="H1" s="2"/>
      <c r="I1" s="55" t="s">
        <v>23</v>
      </c>
    </row>
    <row r="2" spans="1:64" ht="30" customHeight="1" x14ac:dyDescent="0.35">
      <c r="A2" s="39" t="s">
        <v>1</v>
      </c>
      <c r="B2" s="44" t="s">
        <v>46</v>
      </c>
      <c r="I2" s="56" t="s">
        <v>24</v>
      </c>
    </row>
    <row r="3" spans="1:64" ht="30" customHeight="1" x14ac:dyDescent="0.3">
      <c r="A3" s="39" t="s">
        <v>2</v>
      </c>
      <c r="B3" s="45" t="s">
        <v>47</v>
      </c>
      <c r="C3" s="74" t="s">
        <v>16</v>
      </c>
      <c r="D3" s="75"/>
      <c r="E3" s="73">
        <f>E9</f>
        <v>46066</v>
      </c>
      <c r="F3" s="73"/>
    </row>
    <row r="4" spans="1:64" ht="30" customHeight="1" x14ac:dyDescent="0.3">
      <c r="A4" s="40" t="s">
        <v>3</v>
      </c>
      <c r="C4" s="74" t="s">
        <v>17</v>
      </c>
      <c r="D4" s="75"/>
      <c r="E4" s="7">
        <v>1</v>
      </c>
      <c r="I4" s="70">
        <f>I5</f>
        <v>46062</v>
      </c>
      <c r="J4" s="71"/>
      <c r="K4" s="71"/>
      <c r="L4" s="71"/>
      <c r="M4" s="71"/>
      <c r="N4" s="71"/>
      <c r="O4" s="72"/>
      <c r="P4" s="70">
        <f>P5</f>
        <v>46069</v>
      </c>
      <c r="Q4" s="71"/>
      <c r="R4" s="71"/>
      <c r="S4" s="71"/>
      <c r="T4" s="71"/>
      <c r="U4" s="71"/>
      <c r="V4" s="72"/>
      <c r="W4" s="70">
        <f>W5</f>
        <v>46076</v>
      </c>
      <c r="X4" s="71"/>
      <c r="Y4" s="71"/>
      <c r="Z4" s="71"/>
      <c r="AA4" s="71"/>
      <c r="AB4" s="71"/>
      <c r="AC4" s="72"/>
      <c r="AD4" s="70">
        <f>AD5</f>
        <v>46083</v>
      </c>
      <c r="AE4" s="71"/>
      <c r="AF4" s="71"/>
      <c r="AG4" s="71"/>
      <c r="AH4" s="71"/>
      <c r="AI4" s="71"/>
      <c r="AJ4" s="72"/>
      <c r="AK4" s="70">
        <f>AK5</f>
        <v>46090</v>
      </c>
      <c r="AL4" s="71"/>
      <c r="AM4" s="71"/>
      <c r="AN4" s="71"/>
      <c r="AO4" s="71"/>
      <c r="AP4" s="71"/>
      <c r="AQ4" s="72"/>
      <c r="AR4" s="70">
        <f>AR5</f>
        <v>46097</v>
      </c>
      <c r="AS4" s="71"/>
      <c r="AT4" s="71"/>
      <c r="AU4" s="71"/>
      <c r="AV4" s="71"/>
      <c r="AW4" s="71"/>
      <c r="AX4" s="72"/>
      <c r="AY4" s="70">
        <f>AY5</f>
        <v>46104</v>
      </c>
      <c r="AZ4" s="71"/>
      <c r="BA4" s="71"/>
      <c r="BB4" s="71"/>
      <c r="BC4" s="71"/>
      <c r="BD4" s="71"/>
      <c r="BE4" s="72"/>
      <c r="BF4" s="70">
        <f>BF5</f>
        <v>46111</v>
      </c>
      <c r="BG4" s="71"/>
      <c r="BH4" s="71"/>
      <c r="BI4" s="71"/>
      <c r="BJ4" s="71"/>
      <c r="BK4" s="71"/>
      <c r="BL4" s="72"/>
    </row>
    <row r="5" spans="1:64" ht="15" customHeight="1" x14ac:dyDescent="0.3">
      <c r="A5" s="40" t="s">
        <v>4</v>
      </c>
      <c r="B5" s="54"/>
      <c r="C5" s="54"/>
      <c r="D5" s="54"/>
      <c r="E5" s="54"/>
      <c r="F5" s="54"/>
      <c r="G5" s="54"/>
      <c r="I5" s="67">
        <f>Início_do_projeto-WEEKDAY(Início_do_projeto,1)+2+7*(Semana_de_exibição-1)</f>
        <v>46062</v>
      </c>
      <c r="J5" s="68">
        <f>I5+1</f>
        <v>46063</v>
      </c>
      <c r="K5" s="68">
        <f t="shared" ref="K5:AX5" si="0">J5+1</f>
        <v>46064</v>
      </c>
      <c r="L5" s="68">
        <f t="shared" si="0"/>
        <v>46065</v>
      </c>
      <c r="M5" s="68">
        <f t="shared" si="0"/>
        <v>46066</v>
      </c>
      <c r="N5" s="68">
        <f t="shared" si="0"/>
        <v>46067</v>
      </c>
      <c r="O5" s="69">
        <f t="shared" si="0"/>
        <v>46068</v>
      </c>
      <c r="P5" s="67">
        <f>O5+1</f>
        <v>46069</v>
      </c>
      <c r="Q5" s="68">
        <f>P5+1</f>
        <v>46070</v>
      </c>
      <c r="R5" s="68">
        <f t="shared" si="0"/>
        <v>46071</v>
      </c>
      <c r="S5" s="68">
        <f t="shared" si="0"/>
        <v>46072</v>
      </c>
      <c r="T5" s="68">
        <f t="shared" si="0"/>
        <v>46073</v>
      </c>
      <c r="U5" s="68">
        <f t="shared" si="0"/>
        <v>46074</v>
      </c>
      <c r="V5" s="69">
        <f t="shared" si="0"/>
        <v>46075</v>
      </c>
      <c r="W5" s="67">
        <f>V5+1</f>
        <v>46076</v>
      </c>
      <c r="X5" s="68">
        <f>W5+1</f>
        <v>46077</v>
      </c>
      <c r="Y5" s="68">
        <f t="shared" si="0"/>
        <v>46078</v>
      </c>
      <c r="Z5" s="68">
        <f t="shared" si="0"/>
        <v>46079</v>
      </c>
      <c r="AA5" s="68">
        <f t="shared" si="0"/>
        <v>46080</v>
      </c>
      <c r="AB5" s="68">
        <f t="shared" si="0"/>
        <v>46081</v>
      </c>
      <c r="AC5" s="69">
        <f t="shared" si="0"/>
        <v>46082</v>
      </c>
      <c r="AD5" s="67">
        <f>AC5+1</f>
        <v>46083</v>
      </c>
      <c r="AE5" s="68">
        <f>AD5+1</f>
        <v>46084</v>
      </c>
      <c r="AF5" s="68">
        <f t="shared" si="0"/>
        <v>46085</v>
      </c>
      <c r="AG5" s="68">
        <f t="shared" si="0"/>
        <v>46086</v>
      </c>
      <c r="AH5" s="68">
        <f t="shared" si="0"/>
        <v>46087</v>
      </c>
      <c r="AI5" s="68">
        <f t="shared" si="0"/>
        <v>46088</v>
      </c>
      <c r="AJ5" s="69">
        <f t="shared" si="0"/>
        <v>46089</v>
      </c>
      <c r="AK5" s="67">
        <f>AJ5+1</f>
        <v>46090</v>
      </c>
      <c r="AL5" s="68">
        <f>AK5+1</f>
        <v>46091</v>
      </c>
      <c r="AM5" s="68">
        <f t="shared" si="0"/>
        <v>46092</v>
      </c>
      <c r="AN5" s="68">
        <f t="shared" si="0"/>
        <v>46093</v>
      </c>
      <c r="AO5" s="68">
        <f t="shared" si="0"/>
        <v>46094</v>
      </c>
      <c r="AP5" s="68">
        <f t="shared" si="0"/>
        <v>46095</v>
      </c>
      <c r="AQ5" s="69">
        <f t="shared" si="0"/>
        <v>46096</v>
      </c>
      <c r="AR5" s="67">
        <f>AQ5+1</f>
        <v>46097</v>
      </c>
      <c r="AS5" s="68">
        <f>AR5+1</f>
        <v>46098</v>
      </c>
      <c r="AT5" s="68">
        <f t="shared" si="0"/>
        <v>46099</v>
      </c>
      <c r="AU5" s="68">
        <f t="shared" si="0"/>
        <v>46100</v>
      </c>
      <c r="AV5" s="68">
        <f t="shared" si="0"/>
        <v>46101</v>
      </c>
      <c r="AW5" s="68">
        <f t="shared" si="0"/>
        <v>46102</v>
      </c>
      <c r="AX5" s="69">
        <f t="shared" si="0"/>
        <v>46103</v>
      </c>
      <c r="AY5" s="67">
        <f>AX5+1</f>
        <v>46104</v>
      </c>
      <c r="AZ5" s="68">
        <f>AY5+1</f>
        <v>46105</v>
      </c>
      <c r="BA5" s="68">
        <f t="shared" ref="BA5:BE5" si="1">AZ5+1</f>
        <v>46106</v>
      </c>
      <c r="BB5" s="68">
        <f t="shared" si="1"/>
        <v>46107</v>
      </c>
      <c r="BC5" s="68">
        <f t="shared" si="1"/>
        <v>46108</v>
      </c>
      <c r="BD5" s="68">
        <f t="shared" si="1"/>
        <v>46109</v>
      </c>
      <c r="BE5" s="69">
        <f t="shared" si="1"/>
        <v>46110</v>
      </c>
      <c r="BF5" s="67">
        <f>BE5+1</f>
        <v>46111</v>
      </c>
      <c r="BG5" s="68">
        <f>BF5+1</f>
        <v>46112</v>
      </c>
      <c r="BH5" s="68">
        <f t="shared" ref="BH5:BL5" si="2">BG5+1</f>
        <v>46113</v>
      </c>
      <c r="BI5" s="68">
        <f t="shared" si="2"/>
        <v>46114</v>
      </c>
      <c r="BJ5" s="68">
        <f t="shared" si="2"/>
        <v>46115</v>
      </c>
      <c r="BK5" s="68">
        <f t="shared" si="2"/>
        <v>46116</v>
      </c>
      <c r="BL5" s="69">
        <f t="shared" si="2"/>
        <v>46117</v>
      </c>
    </row>
    <row r="6" spans="1:64" ht="30" customHeight="1" thickBot="1" x14ac:dyDescent="0.35">
      <c r="A6" s="40" t="s">
        <v>5</v>
      </c>
      <c r="B6" s="8" t="s">
        <v>14</v>
      </c>
      <c r="C6" s="9" t="s">
        <v>18</v>
      </c>
      <c r="D6" s="9" t="s">
        <v>19</v>
      </c>
      <c r="E6" s="9" t="s">
        <v>20</v>
      </c>
      <c r="F6" s="9" t="s">
        <v>21</v>
      </c>
      <c r="G6" s="9"/>
      <c r="H6" s="9" t="s">
        <v>22</v>
      </c>
      <c r="I6" s="10" t="str">
        <f t="shared" ref="I6" si="3">LEFT(TEXT(I5,"ddd"),1)</f>
        <v>s</v>
      </c>
      <c r="J6" s="10" t="str">
        <f t="shared" ref="J6:AR6" si="4">LEFT(TEXT(J5,"ddd"),1)</f>
        <v>t</v>
      </c>
      <c r="K6" s="10" t="str">
        <f t="shared" si="4"/>
        <v>q</v>
      </c>
      <c r="L6" s="10" t="str">
        <f t="shared" si="4"/>
        <v>q</v>
      </c>
      <c r="M6" s="10" t="str">
        <f t="shared" si="4"/>
        <v>s</v>
      </c>
      <c r="N6" s="10" t="str">
        <f t="shared" si="4"/>
        <v>s</v>
      </c>
      <c r="O6" s="10" t="str">
        <f t="shared" si="4"/>
        <v>d</v>
      </c>
      <c r="P6" s="10" t="str">
        <f t="shared" si="4"/>
        <v>s</v>
      </c>
      <c r="Q6" s="10" t="str">
        <f t="shared" si="4"/>
        <v>t</v>
      </c>
      <c r="R6" s="10" t="str">
        <f t="shared" si="4"/>
        <v>q</v>
      </c>
      <c r="S6" s="10" t="str">
        <f t="shared" si="4"/>
        <v>q</v>
      </c>
      <c r="T6" s="10" t="str">
        <f t="shared" si="4"/>
        <v>s</v>
      </c>
      <c r="U6" s="10" t="str">
        <f t="shared" si="4"/>
        <v>s</v>
      </c>
      <c r="V6" s="10" t="str">
        <f t="shared" si="4"/>
        <v>d</v>
      </c>
      <c r="W6" s="10" t="str">
        <f t="shared" si="4"/>
        <v>s</v>
      </c>
      <c r="X6" s="10" t="str">
        <f t="shared" si="4"/>
        <v>t</v>
      </c>
      <c r="Y6" s="10" t="str">
        <f t="shared" si="4"/>
        <v>q</v>
      </c>
      <c r="Z6" s="10" t="str">
        <f t="shared" si="4"/>
        <v>q</v>
      </c>
      <c r="AA6" s="10" t="str">
        <f t="shared" si="4"/>
        <v>s</v>
      </c>
      <c r="AB6" s="10" t="str">
        <f t="shared" si="4"/>
        <v>s</v>
      </c>
      <c r="AC6" s="10" t="str">
        <f t="shared" si="4"/>
        <v>d</v>
      </c>
      <c r="AD6" s="10" t="str">
        <f t="shared" si="4"/>
        <v>s</v>
      </c>
      <c r="AE6" s="10" t="str">
        <f t="shared" si="4"/>
        <v>t</v>
      </c>
      <c r="AF6" s="10" t="str">
        <f t="shared" si="4"/>
        <v>q</v>
      </c>
      <c r="AG6" s="10" t="str">
        <f t="shared" si="4"/>
        <v>q</v>
      </c>
      <c r="AH6" s="10" t="str">
        <f t="shared" si="4"/>
        <v>s</v>
      </c>
      <c r="AI6" s="10" t="str">
        <f t="shared" si="4"/>
        <v>s</v>
      </c>
      <c r="AJ6" s="10" t="str">
        <f t="shared" si="4"/>
        <v>d</v>
      </c>
      <c r="AK6" s="10" t="str">
        <f t="shared" si="4"/>
        <v>s</v>
      </c>
      <c r="AL6" s="10" t="str">
        <f t="shared" si="4"/>
        <v>t</v>
      </c>
      <c r="AM6" s="10" t="str">
        <f t="shared" si="4"/>
        <v>q</v>
      </c>
      <c r="AN6" s="10" t="str">
        <f t="shared" si="4"/>
        <v>q</v>
      </c>
      <c r="AO6" s="10" t="str">
        <f t="shared" si="4"/>
        <v>s</v>
      </c>
      <c r="AP6" s="10" t="str">
        <f t="shared" si="4"/>
        <v>s</v>
      </c>
      <c r="AQ6" s="10" t="str">
        <f t="shared" si="4"/>
        <v>d</v>
      </c>
      <c r="AR6" s="10" t="str">
        <f t="shared" si="4"/>
        <v>s</v>
      </c>
      <c r="AS6" s="10" t="str">
        <f t="shared" ref="AS6:BL6" si="5">LEFT(TEXT(AS5,"ddd"),1)</f>
        <v>t</v>
      </c>
      <c r="AT6" s="10" t="str">
        <f t="shared" si="5"/>
        <v>q</v>
      </c>
      <c r="AU6" s="10" t="str">
        <f t="shared" si="5"/>
        <v>q</v>
      </c>
      <c r="AV6" s="10" t="str">
        <f t="shared" si="5"/>
        <v>s</v>
      </c>
      <c r="AW6" s="10" t="str">
        <f t="shared" si="5"/>
        <v>s</v>
      </c>
      <c r="AX6" s="10" t="str">
        <f t="shared" si="5"/>
        <v>d</v>
      </c>
      <c r="AY6" s="10" t="str">
        <f t="shared" si="5"/>
        <v>s</v>
      </c>
      <c r="AZ6" s="10" t="str">
        <f t="shared" si="5"/>
        <v>t</v>
      </c>
      <c r="BA6" s="10" t="str">
        <f t="shared" si="5"/>
        <v>q</v>
      </c>
      <c r="BB6" s="10" t="str">
        <f t="shared" si="5"/>
        <v>q</v>
      </c>
      <c r="BC6" s="10" t="str">
        <f t="shared" si="5"/>
        <v>s</v>
      </c>
      <c r="BD6" s="10" t="str">
        <f t="shared" si="5"/>
        <v>s</v>
      </c>
      <c r="BE6" s="10" t="str">
        <f t="shared" si="5"/>
        <v>d</v>
      </c>
      <c r="BF6" s="10" t="str">
        <f t="shared" si="5"/>
        <v>s</v>
      </c>
      <c r="BG6" s="10" t="str">
        <f t="shared" si="5"/>
        <v>t</v>
      </c>
      <c r="BH6" s="10" t="str">
        <f t="shared" si="5"/>
        <v>q</v>
      </c>
      <c r="BI6" s="10" t="str">
        <f t="shared" si="5"/>
        <v>q</v>
      </c>
      <c r="BJ6" s="10" t="str">
        <f t="shared" si="5"/>
        <v>s</v>
      </c>
      <c r="BK6" s="10" t="str">
        <f t="shared" si="5"/>
        <v>s</v>
      </c>
      <c r="BL6" s="10" t="str">
        <f t="shared" si="5"/>
        <v>d</v>
      </c>
    </row>
    <row r="7" spans="1:64" ht="30" hidden="1" customHeight="1" thickBot="1" x14ac:dyDescent="0.35">
      <c r="A7" s="39" t="s">
        <v>6</v>
      </c>
      <c r="C7" s="42"/>
      <c r="E7"/>
      <c r="H7" t="str">
        <f>IF(OR(ISBLANK(Início_da_tarefa),ISBLANK(Término_da_tarefa)),"",Término_da_tarefa-Início_da_tarefa+1)</f>
        <v/>
      </c>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row>
    <row r="8" spans="1:64" s="3" customFormat="1" ht="30" customHeight="1" thickBot="1" x14ac:dyDescent="0.35">
      <c r="A8" s="40" t="s">
        <v>7</v>
      </c>
      <c r="B8" s="15" t="s">
        <v>39</v>
      </c>
      <c r="C8" s="46"/>
      <c r="D8" s="16"/>
      <c r="E8" s="58"/>
      <c r="F8" s="59"/>
      <c r="G8" s="14"/>
      <c r="H8" s="14" t="str">
        <f t="shared" ref="H8:H33" si="6">IF(OR(ISBLANK(Início_da_tarefa),ISBLANK(Término_da_tarefa)),"",Término_da_tarefa-Início_da_tarefa+1)</f>
        <v/>
      </c>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row>
    <row r="9" spans="1:64" s="3" customFormat="1" ht="30" customHeight="1" thickBot="1" x14ac:dyDescent="0.35">
      <c r="A9" s="40" t="s">
        <v>8</v>
      </c>
      <c r="B9" s="51" t="s">
        <v>40</v>
      </c>
      <c r="C9" s="47" t="s">
        <v>41</v>
      </c>
      <c r="D9" s="17">
        <v>1</v>
      </c>
      <c r="E9" s="60">
        <v>46066</v>
      </c>
      <c r="F9" s="60">
        <v>46072</v>
      </c>
      <c r="G9" s="14"/>
      <c r="H9" s="14">
        <f t="shared" si="6"/>
        <v>7</v>
      </c>
      <c r="I9" s="25"/>
      <c r="J9" s="25"/>
      <c r="K9" s="25"/>
      <c r="L9" s="25"/>
      <c r="M9" s="76"/>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row>
    <row r="10" spans="1:64" s="3" customFormat="1" ht="30" customHeight="1" thickBot="1" x14ac:dyDescent="0.35">
      <c r="A10" s="40" t="s">
        <v>9</v>
      </c>
      <c r="B10" s="51" t="s">
        <v>42</v>
      </c>
      <c r="C10" s="47" t="s">
        <v>43</v>
      </c>
      <c r="D10" s="17">
        <v>1</v>
      </c>
      <c r="E10" s="60">
        <f>E9</f>
        <v>46066</v>
      </c>
      <c r="F10" s="60">
        <f>F9</f>
        <v>46072</v>
      </c>
      <c r="G10" s="14"/>
      <c r="H10" s="14">
        <f t="shared" si="6"/>
        <v>7</v>
      </c>
      <c r="I10" s="25"/>
      <c r="J10" s="25"/>
      <c r="K10" s="25"/>
      <c r="L10" s="25"/>
      <c r="M10" s="25"/>
      <c r="N10" s="25"/>
      <c r="O10" s="25"/>
      <c r="P10" s="25"/>
      <c r="Q10" s="25"/>
      <c r="R10" s="25"/>
      <c r="S10" s="25"/>
      <c r="T10" s="25"/>
      <c r="U10" s="26"/>
      <c r="V10" s="26"/>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row>
    <row r="11" spans="1:64" s="3" customFormat="1" ht="30" customHeight="1" thickBot="1" x14ac:dyDescent="0.35">
      <c r="A11" s="39"/>
      <c r="B11" s="51" t="s">
        <v>44</v>
      </c>
      <c r="C11" s="47" t="s">
        <v>45</v>
      </c>
      <c r="D11" s="17">
        <v>1</v>
      </c>
      <c r="E11" s="60">
        <f>E10</f>
        <v>46066</v>
      </c>
      <c r="F11" s="60">
        <f>F10</f>
        <v>46072</v>
      </c>
      <c r="G11" s="14"/>
      <c r="H11" s="14">
        <f t="shared" si="6"/>
        <v>7</v>
      </c>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row>
    <row r="12" spans="1:64" s="3" customFormat="1" ht="30" customHeight="1" thickBot="1" x14ac:dyDescent="0.35">
      <c r="A12" s="39"/>
      <c r="B12" s="18" t="s">
        <v>48</v>
      </c>
      <c r="C12" s="48"/>
      <c r="D12" s="19"/>
      <c r="E12" s="61"/>
      <c r="F12" s="62"/>
      <c r="G12" s="14"/>
      <c r="H12" s="14" t="str">
        <f t="shared" si="6"/>
        <v/>
      </c>
      <c r="I12" s="25"/>
      <c r="J12" s="25"/>
      <c r="K12" s="25"/>
      <c r="L12" s="25"/>
      <c r="M12" s="25"/>
      <c r="N12" s="25"/>
      <c r="O12" s="25"/>
      <c r="P12" s="25"/>
      <c r="Q12" s="25"/>
      <c r="R12" s="25"/>
      <c r="S12" s="25"/>
      <c r="T12" s="25"/>
      <c r="U12" s="25"/>
      <c r="V12" s="25"/>
      <c r="W12" s="25"/>
      <c r="X12" s="25"/>
      <c r="Y12" s="26"/>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row>
    <row r="13" spans="1:64" s="3" customFormat="1" ht="30" customHeight="1" thickBot="1" x14ac:dyDescent="0.35">
      <c r="A13" s="39"/>
      <c r="B13" s="52" t="s">
        <v>49</v>
      </c>
      <c r="C13" s="49" t="s">
        <v>51</v>
      </c>
      <c r="D13" s="20">
        <v>0.5</v>
      </c>
      <c r="E13" s="63">
        <v>46072</v>
      </c>
      <c r="F13" s="63">
        <f>E13+1</f>
        <v>46073</v>
      </c>
      <c r="G13" s="14"/>
      <c r="H13" s="14">
        <f t="shared" si="6"/>
        <v>2</v>
      </c>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row>
    <row r="14" spans="1:64" s="3" customFormat="1" ht="30" customHeight="1" thickBot="1" x14ac:dyDescent="0.35">
      <c r="A14" s="40" t="s">
        <v>10</v>
      </c>
      <c r="B14" s="52" t="s">
        <v>50</v>
      </c>
      <c r="C14" s="49" t="s">
        <v>52</v>
      </c>
      <c r="D14" s="20">
        <v>1</v>
      </c>
      <c r="E14" s="63">
        <v>46066</v>
      </c>
      <c r="F14" s="63">
        <f>E14+6</f>
        <v>46072</v>
      </c>
      <c r="G14" s="14"/>
      <c r="H14" s="14">
        <f t="shared" si="6"/>
        <v>7</v>
      </c>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row>
    <row r="15" spans="1:64" s="3" customFormat="1" ht="30" customHeight="1" thickBot="1" x14ac:dyDescent="0.35">
      <c r="A15" s="40"/>
      <c r="B15" s="53"/>
      <c r="C15" s="50"/>
      <c r="D15" s="13"/>
      <c r="E15" s="64"/>
      <c r="F15" s="64"/>
      <c r="G15" s="14"/>
      <c r="H15" s="14" t="str">
        <f t="shared" si="6"/>
        <v/>
      </c>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row>
    <row r="16" spans="1:64" s="3" customFormat="1" ht="30" customHeight="1" thickBot="1" x14ac:dyDescent="0.35">
      <c r="A16" s="39"/>
      <c r="B16" s="21" t="s">
        <v>15</v>
      </c>
      <c r="C16" s="22"/>
      <c r="D16" s="23"/>
      <c r="E16" s="65"/>
      <c r="F16" s="66"/>
      <c r="G16" s="14"/>
      <c r="H16" s="14" t="str">
        <f t="shared" si="6"/>
        <v/>
      </c>
      <c r="I16" s="25"/>
      <c r="J16" s="25"/>
      <c r="K16" s="25"/>
      <c r="L16" s="25"/>
      <c r="M16" s="25"/>
      <c r="N16" s="25"/>
      <c r="O16" s="25"/>
      <c r="P16" s="25"/>
      <c r="Q16" s="25"/>
      <c r="R16" s="25"/>
      <c r="S16" s="25"/>
      <c r="T16" s="25"/>
      <c r="U16" s="26"/>
      <c r="V16" s="26"/>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row>
    <row r="17" spans="1:64" s="3" customFormat="1" ht="30" customHeight="1" thickBot="1" x14ac:dyDescent="0.35">
      <c r="A17" s="39"/>
      <c r="B17"/>
      <c r="C17"/>
      <c r="D17"/>
      <c r="E17" s="5"/>
      <c r="F17"/>
      <c r="G17" s="14"/>
      <c r="H17" s="14" t="str">
        <f t="shared" si="6"/>
        <v/>
      </c>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row>
    <row r="18" spans="1:64" s="3" customFormat="1" ht="30" customHeight="1" thickBot="1" x14ac:dyDescent="0.35">
      <c r="A18" s="39"/>
      <c r="B18"/>
      <c r="C18" s="11"/>
      <c r="D18"/>
      <c r="E18" s="5"/>
      <c r="F18" s="41"/>
      <c r="G18" s="14"/>
      <c r="H18" s="14" t="str">
        <f t="shared" si="6"/>
        <v/>
      </c>
      <c r="I18" s="25"/>
      <c r="J18" s="25"/>
      <c r="K18" s="25"/>
      <c r="L18" s="25"/>
      <c r="M18" s="25"/>
      <c r="N18" s="25"/>
      <c r="O18" s="25"/>
      <c r="P18" s="25"/>
      <c r="Q18" s="25"/>
      <c r="R18" s="25"/>
      <c r="S18" s="25"/>
      <c r="T18" s="25"/>
      <c r="U18" s="25"/>
      <c r="V18" s="25"/>
      <c r="W18" s="25"/>
      <c r="X18" s="25"/>
      <c r="Y18" s="26"/>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row>
    <row r="19" spans="1:64" s="3" customFormat="1" ht="30" customHeight="1" thickBot="1" x14ac:dyDescent="0.35">
      <c r="A19" s="39"/>
      <c r="B19"/>
      <c r="C19" s="12"/>
      <c r="D19"/>
      <c r="E19" s="5"/>
      <c r="F19"/>
      <c r="G19" s="14"/>
      <c r="H19" s="14" t="str">
        <f t="shared" si="6"/>
        <v/>
      </c>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row>
    <row r="20" spans="1:64" s="3" customFormat="1" ht="30" customHeight="1" thickBot="1" x14ac:dyDescent="0.35">
      <c r="A20" s="39" t="s">
        <v>11</v>
      </c>
      <c r="B20"/>
      <c r="C20"/>
      <c r="D20"/>
      <c r="E20" s="5"/>
      <c r="F20"/>
      <c r="G20" s="14"/>
      <c r="H20" s="14" t="str">
        <f t="shared" si="6"/>
        <v/>
      </c>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row>
    <row r="21" spans="1:64" s="3" customFormat="1" ht="30" customHeight="1" thickBot="1" x14ac:dyDescent="0.35">
      <c r="A21" s="39"/>
      <c r="B21"/>
      <c r="C21"/>
      <c r="D21"/>
      <c r="E21" s="5"/>
      <c r="F21"/>
      <c r="G21" s="14"/>
      <c r="H21" s="14" t="str">
        <f t="shared" si="6"/>
        <v/>
      </c>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row>
    <row r="22" spans="1:64" s="3" customFormat="1" ht="30" customHeight="1" thickBot="1" x14ac:dyDescent="0.35">
      <c r="A22" s="39"/>
      <c r="B22"/>
      <c r="C22"/>
      <c r="D22"/>
      <c r="E22" s="5"/>
      <c r="F22"/>
      <c r="G22" s="14"/>
      <c r="H22" s="14" t="str">
        <f t="shared" si="6"/>
        <v/>
      </c>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row>
    <row r="23" spans="1:64" s="3" customFormat="1" ht="30" customHeight="1" thickBot="1" x14ac:dyDescent="0.35">
      <c r="A23" s="39"/>
      <c r="B23"/>
      <c r="C23"/>
      <c r="D23"/>
      <c r="E23" s="5"/>
      <c r="F23"/>
      <c r="G23" s="14"/>
      <c r="H23" s="14" t="str">
        <f t="shared" si="6"/>
        <v/>
      </c>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row>
    <row r="24" spans="1:64" s="3" customFormat="1" ht="30" customHeight="1" thickBot="1" x14ac:dyDescent="0.35">
      <c r="A24" s="39"/>
      <c r="B24"/>
      <c r="C24"/>
      <c r="D24"/>
      <c r="E24" s="5"/>
      <c r="F24"/>
      <c r="G24" s="14"/>
      <c r="H24" s="14" t="str">
        <f t="shared" si="6"/>
        <v/>
      </c>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row>
    <row r="25" spans="1:64" s="3" customFormat="1" ht="30" customHeight="1" thickBot="1" x14ac:dyDescent="0.35">
      <c r="A25" s="39"/>
      <c r="B25"/>
      <c r="C25"/>
      <c r="D25"/>
      <c r="E25" s="5"/>
      <c r="F25"/>
      <c r="G25" s="14"/>
      <c r="H25" s="14" t="str">
        <f t="shared" si="6"/>
        <v/>
      </c>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row>
    <row r="26" spans="1:64" s="3" customFormat="1" ht="30" customHeight="1" thickBot="1" x14ac:dyDescent="0.35">
      <c r="A26" s="39" t="s">
        <v>11</v>
      </c>
      <c r="B26"/>
      <c r="C26"/>
      <c r="D26"/>
      <c r="E26" s="5"/>
      <c r="F26"/>
      <c r="G26" s="14"/>
      <c r="H26" s="14" t="str">
        <f t="shared" si="6"/>
        <v/>
      </c>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row>
    <row r="27" spans="1:64" s="3" customFormat="1" ht="30" customHeight="1" thickBot="1" x14ac:dyDescent="0.35">
      <c r="A27" s="39"/>
      <c r="B27"/>
      <c r="C27"/>
      <c r="D27"/>
      <c r="E27" s="5"/>
      <c r="F27"/>
      <c r="G27" s="14"/>
      <c r="H27" s="14" t="str">
        <f t="shared" si="6"/>
        <v/>
      </c>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row>
    <row r="28" spans="1:64" s="3" customFormat="1" ht="30" customHeight="1" thickBot="1" x14ac:dyDescent="0.35">
      <c r="A28" s="39"/>
      <c r="B28"/>
      <c r="C28"/>
      <c r="D28"/>
      <c r="E28" s="5"/>
      <c r="F28"/>
      <c r="G28" s="14"/>
      <c r="H28" s="14" t="str">
        <f t="shared" si="6"/>
        <v/>
      </c>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row>
    <row r="29" spans="1:64" s="3" customFormat="1" ht="30" customHeight="1" thickBot="1" x14ac:dyDescent="0.35">
      <c r="A29" s="39"/>
      <c r="B29"/>
      <c r="C29"/>
      <c r="D29"/>
      <c r="E29" s="5"/>
      <c r="F29"/>
      <c r="G29" s="14"/>
      <c r="H29" s="14" t="str">
        <f t="shared" si="6"/>
        <v/>
      </c>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row>
    <row r="30" spans="1:64" s="3" customFormat="1" ht="30" customHeight="1" thickBot="1" x14ac:dyDescent="0.35">
      <c r="A30" s="39"/>
      <c r="B30"/>
      <c r="C30"/>
      <c r="D30"/>
      <c r="E30" s="5"/>
      <c r="F30"/>
      <c r="G30" s="14"/>
      <c r="H30" s="14" t="str">
        <f t="shared" si="6"/>
        <v/>
      </c>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row>
    <row r="31" spans="1:64" s="3" customFormat="1" ht="30" customHeight="1" thickBot="1" x14ac:dyDescent="0.35">
      <c r="A31" s="39"/>
      <c r="B31"/>
      <c r="C31"/>
      <c r="D31"/>
      <c r="E31" s="5"/>
      <c r="F31"/>
      <c r="G31" s="14"/>
      <c r="H31" s="14" t="str">
        <f t="shared" si="6"/>
        <v/>
      </c>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row>
    <row r="32" spans="1:64" s="3" customFormat="1" ht="30" customHeight="1" thickBot="1" x14ac:dyDescent="0.35">
      <c r="A32" s="39" t="s">
        <v>12</v>
      </c>
      <c r="B32"/>
      <c r="C32"/>
      <c r="D32"/>
      <c r="E32" s="5"/>
      <c r="F32"/>
      <c r="G32" s="14"/>
      <c r="H32" s="14" t="str">
        <f t="shared" si="6"/>
        <v/>
      </c>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row>
    <row r="33" spans="1:64" s="3" customFormat="1" ht="30" customHeight="1" thickBot="1" x14ac:dyDescent="0.35">
      <c r="A33" s="40" t="s">
        <v>13</v>
      </c>
      <c r="B33"/>
      <c r="C33"/>
      <c r="D33"/>
      <c r="E33" s="5"/>
      <c r="F33"/>
      <c r="G33" s="24"/>
      <c r="H33" s="24" t="str">
        <f t="shared" si="6"/>
        <v/>
      </c>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row>
    <row r="34" spans="1:64" ht="30" customHeight="1" x14ac:dyDescent="0.3">
      <c r="G34" s="6"/>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16">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AND(Início_da_tarefa&lt;=I$5,ROUNDDOWN((Término_da_tarefa-Início_da_tarefa+1)*Progresso_da_tarefa,0)+Início_da_tarefa-1&gt;=I$5)</formula>
    </cfRule>
    <cfRule type="expression" dxfId="0"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94.44140625" style="29" customWidth="1"/>
    <col min="2" max="16384" width="9.109375" style="2"/>
  </cols>
  <sheetData>
    <row r="1" spans="1:2" ht="46.5" customHeight="1" x14ac:dyDescent="0.3"/>
    <row r="2" spans="1:2" s="31" customFormat="1" ht="15.6" x14ac:dyDescent="0.3">
      <c r="A2" s="30" t="s">
        <v>23</v>
      </c>
      <c r="B2" s="30"/>
    </row>
    <row r="3" spans="1:2" s="35" customFormat="1" ht="27" customHeight="1" x14ac:dyDescent="0.3">
      <c r="A3" s="57" t="s">
        <v>24</v>
      </c>
      <c r="B3" s="36"/>
    </row>
    <row r="4" spans="1:2" s="32" customFormat="1" ht="25.8" x14ac:dyDescent="0.5">
      <c r="A4" s="33" t="s">
        <v>25</v>
      </c>
    </row>
    <row r="5" spans="1:2" ht="74.099999999999994" customHeight="1" x14ac:dyDescent="0.3">
      <c r="A5" s="34" t="s">
        <v>26</v>
      </c>
    </row>
    <row r="6" spans="1:2" ht="26.25" customHeight="1" x14ac:dyDescent="0.3">
      <c r="A6" s="33" t="s">
        <v>27</v>
      </c>
    </row>
    <row r="7" spans="1:2" s="29" customFormat="1" ht="204.9" customHeight="1" x14ac:dyDescent="0.3">
      <c r="A7" s="38" t="s">
        <v>28</v>
      </c>
    </row>
    <row r="8" spans="1:2" s="32" customFormat="1" ht="25.8" x14ac:dyDescent="0.5">
      <c r="A8" s="33" t="s">
        <v>29</v>
      </c>
    </row>
    <row r="9" spans="1:2" ht="57.6" x14ac:dyDescent="0.3">
      <c r="A9" s="34" t="s">
        <v>30</v>
      </c>
    </row>
    <row r="10" spans="1:2" s="29" customFormat="1" ht="27.9" customHeight="1" x14ac:dyDescent="0.3">
      <c r="A10" s="37" t="s">
        <v>31</v>
      </c>
    </row>
    <row r="11" spans="1:2" s="32" customFormat="1" ht="25.8" x14ac:dyDescent="0.5">
      <c r="A11" s="33" t="s">
        <v>32</v>
      </c>
    </row>
    <row r="12" spans="1:2" ht="28.8" x14ac:dyDescent="0.3">
      <c r="A12" s="34" t="s">
        <v>33</v>
      </c>
    </row>
    <row r="13" spans="1:2" s="29" customFormat="1" ht="27.9" customHeight="1" x14ac:dyDescent="0.3">
      <c r="A13" s="37" t="s">
        <v>34</v>
      </c>
    </row>
    <row r="14" spans="1:2" s="32" customFormat="1" ht="25.8" x14ac:dyDescent="0.5">
      <c r="A14" s="33" t="s">
        <v>35</v>
      </c>
    </row>
    <row r="15" spans="1:2" ht="75" customHeight="1" x14ac:dyDescent="0.3">
      <c r="A15" s="34" t="s">
        <v>36</v>
      </c>
    </row>
    <row r="16" spans="1:2" ht="75" customHeight="1" x14ac:dyDescent="0.3">
      <c r="A16" s="34"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6</vt:i4>
      </vt:variant>
    </vt:vector>
  </HeadingPairs>
  <TitlesOfParts>
    <vt:vector size="8" baseType="lpstr">
      <vt:lpstr>CronogramaDeProjeto</vt:lpstr>
      <vt:lpstr>Sobre</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2026-02-19T17:12:19Z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